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etr\Desktop\"/>
    </mc:Choice>
  </mc:AlternateContent>
  <xr:revisionPtr revIDLastSave="0" documentId="13_ncr:1_{9AAEE921-3A9A-480D-8D28-07952ABC18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8" r:id="rId1"/>
    <sheet name="Estoque_Localização" sheetId="2" r:id="rId2"/>
    <sheet name="Classe" sheetId="3" r:id="rId3"/>
    <sheet name="Producao_Demanda" sheetId="5" r:id="rId4"/>
    <sheet name="Reposicao" sheetId="6" r:id="rId5"/>
    <sheet name="TabDinam" sheetId="7" r:id="rId6"/>
  </sheets>
  <definedNames>
    <definedName name="SegmentaçãodeDados_Ano">#N/A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5" l="1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E2" i="5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H2" i="3" s="1"/>
  <c r="I2" i="3" l="1"/>
  <c r="H3" i="3"/>
  <c r="H4" i="3" l="1"/>
  <c r="I3" i="3"/>
  <c r="I4" i="3" l="1"/>
  <c r="H5" i="3"/>
  <c r="H6" i="3" l="1"/>
  <c r="I5" i="3"/>
  <c r="I6" i="3" l="1"/>
  <c r="H7" i="3"/>
  <c r="H8" i="3" l="1"/>
  <c r="I7" i="3"/>
  <c r="I8" i="3" l="1"/>
  <c r="H9" i="3"/>
  <c r="H10" i="3" l="1"/>
  <c r="I9" i="3"/>
  <c r="I10" i="3" l="1"/>
  <c r="H11" i="3"/>
  <c r="H12" i="3" l="1"/>
  <c r="I11" i="3"/>
  <c r="I12" i="3" l="1"/>
  <c r="H13" i="3"/>
  <c r="H14" i="3" l="1"/>
  <c r="I13" i="3"/>
  <c r="I14" i="3" l="1"/>
  <c r="H15" i="3"/>
  <c r="H16" i="3" l="1"/>
  <c r="I15" i="3"/>
  <c r="I16" i="3" l="1"/>
  <c r="H17" i="3"/>
  <c r="H18" i="3" l="1"/>
  <c r="I17" i="3"/>
  <c r="I18" i="3" l="1"/>
  <c r="H19" i="3"/>
  <c r="H20" i="3" l="1"/>
  <c r="I19" i="3"/>
  <c r="I20" i="3" l="1"/>
  <c r="H21" i="3"/>
  <c r="H22" i="3" l="1"/>
  <c r="I21" i="3"/>
  <c r="I22" i="3" l="1"/>
  <c r="H23" i="3"/>
  <c r="H24" i="3" l="1"/>
  <c r="I23" i="3"/>
  <c r="I24" i="3" l="1"/>
  <c r="H25" i="3"/>
  <c r="H26" i="3" l="1"/>
  <c r="I25" i="3"/>
  <c r="I26" i="3" l="1"/>
  <c r="H27" i="3"/>
  <c r="H28" i="3" l="1"/>
  <c r="I27" i="3"/>
  <c r="I28" i="3" l="1"/>
  <c r="H29" i="3"/>
  <c r="H30" i="3" l="1"/>
  <c r="I29" i="3"/>
  <c r="I30" i="3" l="1"/>
  <c r="H31" i="3"/>
  <c r="H32" i="3" l="1"/>
  <c r="I31" i="3"/>
  <c r="I32" i="3" l="1"/>
  <c r="H33" i="3"/>
  <c r="H34" i="3" l="1"/>
  <c r="I33" i="3"/>
  <c r="I34" i="3" l="1"/>
  <c r="H35" i="3"/>
  <c r="H36" i="3" l="1"/>
  <c r="I35" i="3"/>
  <c r="I36" i="3" l="1"/>
  <c r="H37" i="3"/>
  <c r="H38" i="3" l="1"/>
  <c r="I37" i="3"/>
  <c r="I38" i="3" l="1"/>
  <c r="H39" i="3"/>
  <c r="H40" i="3" l="1"/>
  <c r="I39" i="3"/>
  <c r="I40" i="3" l="1"/>
  <c r="H41" i="3"/>
  <c r="H42" i="3" l="1"/>
  <c r="I41" i="3"/>
  <c r="I42" i="3" l="1"/>
  <c r="H43" i="3"/>
  <c r="H44" i="3" l="1"/>
  <c r="I43" i="3"/>
  <c r="I44" i="3" l="1"/>
  <c r="H45" i="3"/>
  <c r="H46" i="3" l="1"/>
  <c r="I45" i="3"/>
  <c r="I46" i="3" l="1"/>
  <c r="H47" i="3"/>
  <c r="H48" i="3" l="1"/>
  <c r="I47" i="3"/>
  <c r="I48" i="3" l="1"/>
  <c r="H49" i="3"/>
  <c r="H50" i="3" l="1"/>
  <c r="I49" i="3"/>
  <c r="H51" i="3" l="1"/>
  <c r="I50" i="3"/>
  <c r="I51" i="3" l="1"/>
  <c r="H52" i="3"/>
  <c r="H53" i="3" l="1"/>
  <c r="I52" i="3"/>
  <c r="I53" i="3" l="1"/>
  <c r="H54" i="3"/>
  <c r="H55" i="3" l="1"/>
  <c r="I54" i="3"/>
  <c r="I55" i="3" l="1"/>
  <c r="H56" i="3"/>
  <c r="H57" i="3" l="1"/>
  <c r="I56" i="3"/>
  <c r="I57" i="3" l="1"/>
  <c r="H58" i="3"/>
  <c r="H59" i="3" l="1"/>
  <c r="I58" i="3"/>
  <c r="I59" i="3" l="1"/>
  <c r="H60" i="3"/>
  <c r="H61" i="3" l="1"/>
  <c r="I60" i="3"/>
  <c r="I61" i="3" l="1"/>
  <c r="H62" i="3"/>
  <c r="H63" i="3" l="1"/>
  <c r="I62" i="3"/>
  <c r="I63" i="3" l="1"/>
  <c r="H64" i="3"/>
  <c r="H65" i="3" l="1"/>
  <c r="I64" i="3"/>
  <c r="I65" i="3" l="1"/>
  <c r="H66" i="3"/>
  <c r="H67" i="3" l="1"/>
  <c r="I66" i="3"/>
  <c r="I67" i="3" l="1"/>
  <c r="H68" i="3"/>
  <c r="H69" i="3" l="1"/>
  <c r="I68" i="3"/>
  <c r="I69" i="3" l="1"/>
  <c r="H70" i="3"/>
  <c r="H71" i="3" l="1"/>
  <c r="I70" i="3"/>
  <c r="I71" i="3" l="1"/>
  <c r="H72" i="3"/>
  <c r="H73" i="3" l="1"/>
  <c r="I72" i="3"/>
  <c r="I73" i="3" l="1"/>
  <c r="H74" i="3"/>
  <c r="H75" i="3" l="1"/>
  <c r="I74" i="3"/>
  <c r="I75" i="3" l="1"/>
  <c r="H76" i="3"/>
  <c r="H77" i="3" l="1"/>
  <c r="I76" i="3"/>
  <c r="I77" i="3" l="1"/>
  <c r="H78" i="3"/>
  <c r="H79" i="3" l="1"/>
  <c r="I78" i="3"/>
  <c r="I79" i="3" l="1"/>
  <c r="H80" i="3"/>
  <c r="H81" i="3" l="1"/>
  <c r="I80" i="3"/>
  <c r="I81" i="3" l="1"/>
  <c r="H82" i="3"/>
  <c r="H83" i="3" l="1"/>
  <c r="I82" i="3"/>
  <c r="I83" i="3" l="1"/>
  <c r="H84" i="3"/>
  <c r="H85" i="3" l="1"/>
  <c r="I84" i="3"/>
  <c r="I85" i="3" l="1"/>
  <c r="H86" i="3"/>
  <c r="H87" i="3" l="1"/>
  <c r="I86" i="3"/>
  <c r="I87" i="3" l="1"/>
  <c r="H88" i="3"/>
  <c r="H89" i="3" l="1"/>
  <c r="I88" i="3"/>
  <c r="I89" i="3" l="1"/>
  <c r="H90" i="3"/>
  <c r="H91" i="3" l="1"/>
  <c r="I90" i="3"/>
  <c r="I91" i="3" l="1"/>
  <c r="H92" i="3"/>
  <c r="H93" i="3" l="1"/>
  <c r="I92" i="3"/>
  <c r="I93" i="3" l="1"/>
  <c r="H94" i="3"/>
  <c r="H95" i="3" l="1"/>
  <c r="I94" i="3"/>
  <c r="I95" i="3" l="1"/>
  <c r="H96" i="3"/>
  <c r="H97" i="3" l="1"/>
  <c r="I96" i="3"/>
  <c r="I97" i="3" l="1"/>
  <c r="H98" i="3"/>
  <c r="H99" i="3" l="1"/>
  <c r="I98" i="3"/>
  <c r="I99" i="3" l="1"/>
  <c r="H100" i="3"/>
  <c r="H101" i="3" l="1"/>
  <c r="I100" i="3"/>
  <c r="I101" i="3" l="1"/>
  <c r="H102" i="3"/>
  <c r="H103" i="3" l="1"/>
  <c r="I102" i="3"/>
  <c r="I103" i="3" l="1"/>
  <c r="H104" i="3"/>
  <c r="H105" i="3" l="1"/>
  <c r="I104" i="3"/>
  <c r="I105" i="3" l="1"/>
  <c r="H106" i="3"/>
  <c r="H107" i="3" l="1"/>
  <c r="I106" i="3"/>
  <c r="I107" i="3" l="1"/>
  <c r="H108" i="3"/>
  <c r="H109" i="3" l="1"/>
  <c r="I108" i="3"/>
  <c r="I109" i="3" l="1"/>
  <c r="H110" i="3"/>
  <c r="H111" i="3" l="1"/>
  <c r="I110" i="3"/>
  <c r="I111" i="3" l="1"/>
  <c r="H112" i="3"/>
  <c r="H113" i="3" l="1"/>
  <c r="I112" i="3"/>
  <c r="I113" i="3" l="1"/>
  <c r="H114" i="3"/>
  <c r="H115" i="3" l="1"/>
  <c r="I114" i="3"/>
  <c r="I115" i="3" l="1"/>
  <c r="H116" i="3"/>
  <c r="H117" i="3" l="1"/>
  <c r="I116" i="3"/>
  <c r="I117" i="3" l="1"/>
  <c r="H118" i="3"/>
  <c r="H119" i="3" l="1"/>
  <c r="I118" i="3"/>
  <c r="I119" i="3" l="1"/>
  <c r="H120" i="3"/>
  <c r="H121" i="3" l="1"/>
  <c r="I120" i="3"/>
  <c r="I121" i="3" l="1"/>
  <c r="H122" i="3"/>
  <c r="H123" i="3" l="1"/>
  <c r="I122" i="3"/>
  <c r="I123" i="3" l="1"/>
  <c r="H124" i="3"/>
  <c r="H125" i="3" l="1"/>
  <c r="I124" i="3"/>
  <c r="I125" i="3" l="1"/>
  <c r="H126" i="3"/>
  <c r="H127" i="3" l="1"/>
  <c r="I126" i="3"/>
  <c r="I127" i="3" l="1"/>
  <c r="H128" i="3"/>
  <c r="H129" i="3" l="1"/>
  <c r="I128" i="3"/>
  <c r="I129" i="3" l="1"/>
  <c r="H130" i="3"/>
  <c r="H131" i="3" l="1"/>
  <c r="I130" i="3"/>
  <c r="I131" i="3" l="1"/>
  <c r="H132" i="3"/>
  <c r="H133" i="3" l="1"/>
  <c r="I132" i="3"/>
  <c r="I133" i="3" l="1"/>
  <c r="H134" i="3"/>
  <c r="H135" i="3" l="1"/>
  <c r="I134" i="3"/>
  <c r="I135" i="3" l="1"/>
  <c r="H136" i="3"/>
  <c r="H137" i="3" l="1"/>
  <c r="I136" i="3"/>
  <c r="I137" i="3" l="1"/>
  <c r="H138" i="3"/>
  <c r="H139" i="3" l="1"/>
  <c r="I138" i="3"/>
  <c r="I139" i="3" l="1"/>
  <c r="H140" i="3"/>
  <c r="H141" i="3" l="1"/>
  <c r="I140" i="3"/>
  <c r="I141" i="3" l="1"/>
  <c r="H142" i="3"/>
  <c r="H143" i="3" l="1"/>
  <c r="I142" i="3"/>
  <c r="I143" i="3" l="1"/>
  <c r="H144" i="3"/>
  <c r="H145" i="3" l="1"/>
  <c r="I144" i="3"/>
  <c r="I145" i="3" l="1"/>
  <c r="H146" i="3"/>
  <c r="H147" i="3" l="1"/>
  <c r="I146" i="3"/>
  <c r="I147" i="3" l="1"/>
  <c r="H148" i="3"/>
  <c r="H149" i="3" l="1"/>
  <c r="I148" i="3"/>
  <c r="I149" i="3" l="1"/>
  <c r="H150" i="3"/>
  <c r="H151" i="3" l="1"/>
  <c r="I150" i="3"/>
  <c r="I151" i="3" l="1"/>
  <c r="H152" i="3"/>
  <c r="H153" i="3" l="1"/>
  <c r="I152" i="3"/>
  <c r="I153" i="3" l="1"/>
  <c r="H154" i="3"/>
  <c r="H155" i="3" l="1"/>
  <c r="I154" i="3"/>
  <c r="I155" i="3" l="1"/>
  <c r="H156" i="3"/>
  <c r="H157" i="3" l="1"/>
  <c r="I156" i="3"/>
  <c r="I157" i="3" l="1"/>
  <c r="H158" i="3"/>
  <c r="H159" i="3" l="1"/>
  <c r="I158" i="3"/>
  <c r="I159" i="3" l="1"/>
  <c r="H160" i="3"/>
  <c r="H161" i="3" l="1"/>
  <c r="I160" i="3"/>
  <c r="I161" i="3" l="1"/>
  <c r="H162" i="3"/>
  <c r="H163" i="3" l="1"/>
  <c r="I162" i="3"/>
  <c r="I163" i="3" l="1"/>
  <c r="H164" i="3"/>
  <c r="H165" i="3" l="1"/>
  <c r="I164" i="3"/>
  <c r="I165" i="3" l="1"/>
  <c r="H166" i="3"/>
  <c r="H167" i="3" l="1"/>
  <c r="I166" i="3"/>
  <c r="I167" i="3" l="1"/>
  <c r="H168" i="3"/>
  <c r="H169" i="3" l="1"/>
  <c r="I168" i="3"/>
  <c r="I169" i="3" l="1"/>
  <c r="H170" i="3"/>
  <c r="H171" i="3" l="1"/>
  <c r="I170" i="3"/>
  <c r="I171" i="3" l="1"/>
  <c r="H172" i="3"/>
  <c r="H173" i="3" l="1"/>
  <c r="I172" i="3"/>
  <c r="I173" i="3" l="1"/>
  <c r="H174" i="3"/>
  <c r="H175" i="3" l="1"/>
  <c r="I174" i="3"/>
  <c r="I175" i="3" l="1"/>
  <c r="H176" i="3"/>
  <c r="H177" i="3" l="1"/>
  <c r="I176" i="3"/>
  <c r="I177" i="3" l="1"/>
  <c r="H178" i="3"/>
  <c r="H179" i="3" l="1"/>
  <c r="I178" i="3"/>
  <c r="I179" i="3" l="1"/>
  <c r="H180" i="3"/>
  <c r="H181" i="3" l="1"/>
  <c r="I180" i="3"/>
  <c r="I181" i="3" l="1"/>
  <c r="H182" i="3"/>
  <c r="H183" i="3" l="1"/>
  <c r="I182" i="3"/>
  <c r="I183" i="3" l="1"/>
  <c r="H184" i="3"/>
  <c r="H185" i="3" l="1"/>
  <c r="I184" i="3"/>
  <c r="I185" i="3" l="1"/>
  <c r="H186" i="3"/>
  <c r="H187" i="3" l="1"/>
  <c r="I186" i="3"/>
  <c r="I187" i="3" l="1"/>
  <c r="H188" i="3"/>
  <c r="H189" i="3" l="1"/>
  <c r="I188" i="3"/>
  <c r="I189" i="3" l="1"/>
  <c r="H190" i="3"/>
  <c r="H191" i="3" l="1"/>
  <c r="I190" i="3"/>
  <c r="I191" i="3" l="1"/>
  <c r="H192" i="3"/>
  <c r="H193" i="3" l="1"/>
  <c r="I192" i="3"/>
  <c r="I193" i="3" l="1"/>
  <c r="H194" i="3"/>
  <c r="H195" i="3" l="1"/>
  <c r="I194" i="3"/>
  <c r="I195" i="3" l="1"/>
  <c r="H196" i="3"/>
  <c r="H197" i="3" l="1"/>
  <c r="I196" i="3"/>
  <c r="I197" i="3" l="1"/>
  <c r="H198" i="3"/>
  <c r="H199" i="3" l="1"/>
  <c r="I198" i="3"/>
  <c r="I199" i="3" l="1"/>
  <c r="H200" i="3"/>
  <c r="H201" i="3" l="1"/>
  <c r="I200" i="3"/>
  <c r="I201" i="3" l="1"/>
  <c r="H202" i="3"/>
  <c r="H203" i="3" l="1"/>
  <c r="I202" i="3"/>
  <c r="I203" i="3" l="1"/>
  <c r="H204" i="3"/>
  <c r="H205" i="3" l="1"/>
  <c r="I204" i="3"/>
  <c r="I205" i="3" l="1"/>
  <c r="H206" i="3"/>
  <c r="H207" i="3" l="1"/>
  <c r="I206" i="3"/>
  <c r="I207" i="3" l="1"/>
  <c r="H208" i="3"/>
  <c r="H209" i="3" l="1"/>
  <c r="I208" i="3"/>
  <c r="I209" i="3" l="1"/>
  <c r="H210" i="3"/>
  <c r="H211" i="3" l="1"/>
  <c r="I210" i="3"/>
  <c r="I211" i="3" l="1"/>
  <c r="H212" i="3"/>
  <c r="H213" i="3" l="1"/>
  <c r="I212" i="3"/>
  <c r="I213" i="3" l="1"/>
  <c r="H214" i="3"/>
  <c r="H215" i="3" l="1"/>
  <c r="I214" i="3"/>
  <c r="I215" i="3" l="1"/>
  <c r="H216" i="3"/>
  <c r="H217" i="3" l="1"/>
  <c r="I216" i="3"/>
  <c r="I217" i="3" l="1"/>
  <c r="H218" i="3"/>
  <c r="H219" i="3" l="1"/>
  <c r="I218" i="3"/>
  <c r="I219" i="3" l="1"/>
  <c r="H220" i="3"/>
  <c r="I220" i="3" s="1"/>
</calcChain>
</file>

<file path=xl/sharedStrings.xml><?xml version="1.0" encoding="utf-8"?>
<sst xmlns="http://schemas.openxmlformats.org/spreadsheetml/2006/main" count="3511" uniqueCount="484">
  <si>
    <t>ProductID</t>
  </si>
  <si>
    <t>Produto</t>
  </si>
  <si>
    <t>Localização</t>
  </si>
  <si>
    <t>Quantidade Estoque</t>
  </si>
  <si>
    <t>Adjustable Race</t>
  </si>
  <si>
    <t>Miscellaneous Storage</t>
  </si>
  <si>
    <t>Subassembly</t>
  </si>
  <si>
    <t>Tool Crib</t>
  </si>
  <si>
    <t>Bearing Ball</t>
  </si>
  <si>
    <t>BB Ball Bearing</t>
  </si>
  <si>
    <t>Headset Ball Bearings</t>
  </si>
  <si>
    <t>Blade</t>
  </si>
  <si>
    <t>Frame Forming</t>
  </si>
  <si>
    <t>Metal Storage</t>
  </si>
  <si>
    <t>LL Crankarm</t>
  </si>
  <si>
    <t>ML Crankarm</t>
  </si>
  <si>
    <t>HL Crankarm</t>
  </si>
  <si>
    <t>Chainring Bolts</t>
  </si>
  <si>
    <t>Chainring Nut</t>
  </si>
  <si>
    <t>Chainring</t>
  </si>
  <si>
    <t>Crown Race</t>
  </si>
  <si>
    <t>Chain Stays</t>
  </si>
  <si>
    <t>Decal 1</t>
  </si>
  <si>
    <t>Final Assembly</t>
  </si>
  <si>
    <t>Decal 2</t>
  </si>
  <si>
    <t>Down Tube</t>
  </si>
  <si>
    <t>Mountain End Caps</t>
  </si>
  <si>
    <t>Road End Caps</t>
  </si>
  <si>
    <t>Touring End Caps</t>
  </si>
  <si>
    <t>Fork End</t>
  </si>
  <si>
    <t>Freewheel</t>
  </si>
  <si>
    <t>Flat Washer 1</t>
  </si>
  <si>
    <t>Flat Washer 6</t>
  </si>
  <si>
    <t>Flat Washer 2</t>
  </si>
  <si>
    <t>Flat Washer 9</t>
  </si>
  <si>
    <t>Flat Washer 4</t>
  </si>
  <si>
    <t>Flat Washer 3</t>
  </si>
  <si>
    <t>Flat Washer 8</t>
  </si>
  <si>
    <t>Flat Washer 5</t>
  </si>
  <si>
    <t>Flat Washer 7</t>
  </si>
  <si>
    <t>Fork Crown</t>
  </si>
  <si>
    <t>Front Derailleur Cage</t>
  </si>
  <si>
    <t>Front Derailleur Linkage</t>
  </si>
  <si>
    <t>Guide Pulley</t>
  </si>
  <si>
    <t>LL Grip Tape</t>
  </si>
  <si>
    <t>ML Grip Tape</t>
  </si>
  <si>
    <t>HL Grip Tape</t>
  </si>
  <si>
    <t>Thin-Jam Hex Nut 9</t>
  </si>
  <si>
    <t>Thin-Jam Hex Nut 10</t>
  </si>
  <si>
    <t>Thin-Jam Hex Nut 1</t>
  </si>
  <si>
    <t>Thin-Jam Hex Nut 2</t>
  </si>
  <si>
    <t>Thin-Jam Hex Nut 15</t>
  </si>
  <si>
    <t>Thin-Jam Hex Nut 16</t>
  </si>
  <si>
    <t>Thin-Jam Hex Nut 5</t>
  </si>
  <si>
    <t>Thin-Jam Hex Nut 6</t>
  </si>
  <si>
    <t>Thin-Jam Hex Nut 3</t>
  </si>
  <si>
    <t>Thin-Jam Hex Nut 4</t>
  </si>
  <si>
    <t>Thin-Jam Hex Nut 13</t>
  </si>
  <si>
    <t>Thin-Jam Hex Nut 14</t>
  </si>
  <si>
    <t>Thin-Jam Hex Nut 7</t>
  </si>
  <si>
    <t>Thin-Jam Hex Nut 8</t>
  </si>
  <si>
    <t>Thin-Jam Hex Nut 12</t>
  </si>
  <si>
    <t>Thin-Jam Hex Nut 11</t>
  </si>
  <si>
    <t>Hex Nut 5</t>
  </si>
  <si>
    <t>Hex Nut 6</t>
  </si>
  <si>
    <t>Hex Nut 16</t>
  </si>
  <si>
    <t>Hex Nut 17</t>
  </si>
  <si>
    <t>Hex Nut 7</t>
  </si>
  <si>
    <t>Hex Nut 8</t>
  </si>
  <si>
    <t>Hex Nut 9</t>
  </si>
  <si>
    <t>Hex Nut 22</t>
  </si>
  <si>
    <t>Hex Nut 23</t>
  </si>
  <si>
    <t>Hex Nut 12</t>
  </si>
  <si>
    <t>Hex Nut 13</t>
  </si>
  <si>
    <t>Hex Nut 1</t>
  </si>
  <si>
    <t>Hex Nut 10</t>
  </si>
  <si>
    <t>Hex Nut 11</t>
  </si>
  <si>
    <t>Hex Nut 2</t>
  </si>
  <si>
    <t>Hex Nut 20</t>
  </si>
  <si>
    <t>Hex Nut 21</t>
  </si>
  <si>
    <t>Hex Nut 3</t>
  </si>
  <si>
    <t>Hex Nut 14</t>
  </si>
  <si>
    <t>Hex Nut 15</t>
  </si>
  <si>
    <t>Hex Nut 4</t>
  </si>
  <si>
    <t>Hex Nut 18</t>
  </si>
  <si>
    <t>Hex Nut 19</t>
  </si>
  <si>
    <t>Handlebar Tube</t>
  </si>
  <si>
    <t>Frame Welding</t>
  </si>
  <si>
    <t>Head Tube</t>
  </si>
  <si>
    <t>LL Hub</t>
  </si>
  <si>
    <t>HL Hub</t>
  </si>
  <si>
    <t>Keyed Washer</t>
  </si>
  <si>
    <t>External Lock Washer 3</t>
  </si>
  <si>
    <t>External Lock Washer 4</t>
  </si>
  <si>
    <t>External Lock Washer 9</t>
  </si>
  <si>
    <t>External Lock Washer 5</t>
  </si>
  <si>
    <t>External Lock Washer 7</t>
  </si>
  <si>
    <t>External Lock Washer 6</t>
  </si>
  <si>
    <t>External Lock Washer 1</t>
  </si>
  <si>
    <t>External Lock Washer 8</t>
  </si>
  <si>
    <t>External Lock Washer 2</t>
  </si>
  <si>
    <t>Internal Lock Washer 3</t>
  </si>
  <si>
    <t>Internal Lock Washer 4</t>
  </si>
  <si>
    <t>Internal Lock Washer 9</t>
  </si>
  <si>
    <t>Internal Lock Washer 5</t>
  </si>
  <si>
    <t>Internal Lock Washer 7</t>
  </si>
  <si>
    <t>Internal Lock Washer 6</t>
  </si>
  <si>
    <t>Internal Lock Washer 10</t>
  </si>
  <si>
    <t>Internal Lock Washer 1</t>
  </si>
  <si>
    <t>Internal Lock Washer 8</t>
  </si>
  <si>
    <t>Internal Lock Washer 2</t>
  </si>
  <si>
    <t>Thin-Jam Lock Nut 9</t>
  </si>
  <si>
    <t>Thin-Jam Lock Nut 10</t>
  </si>
  <si>
    <t>Thin-Jam Lock Nut 1</t>
  </si>
  <si>
    <t>Thin-Jam Lock Nut 2</t>
  </si>
  <si>
    <t>Thin-Jam Lock Nut 15</t>
  </si>
  <si>
    <t>Thin-Jam Lock Nut 16</t>
  </si>
  <si>
    <t>Thin-Jam Lock Nut 5</t>
  </si>
  <si>
    <t>Thin-Jam Lock Nut 6</t>
  </si>
  <si>
    <t>Thin-Jam Lock Nut 3</t>
  </si>
  <si>
    <t>Thin-Jam Lock Nut 4</t>
  </si>
  <si>
    <t>Thin-Jam Lock Nut 13</t>
  </si>
  <si>
    <t>Thin-Jam Lock Nut 14</t>
  </si>
  <si>
    <t>Thin-Jam Lock Nut 7</t>
  </si>
  <si>
    <t>Thin-Jam Lock Nut 8</t>
  </si>
  <si>
    <t>Thin-Jam Lock Nut 12</t>
  </si>
  <si>
    <t>Thin-Jam Lock Nut 11</t>
  </si>
  <si>
    <t>Lock Nut 5</t>
  </si>
  <si>
    <t>Lock Nut 6</t>
  </si>
  <si>
    <t>Lock Nut 16</t>
  </si>
  <si>
    <t>Lock Nut 17</t>
  </si>
  <si>
    <t>Lock Nut 7</t>
  </si>
  <si>
    <t>Lock Nut 8</t>
  </si>
  <si>
    <t>Lock Nut 9</t>
  </si>
  <si>
    <t>Lock Nut 22</t>
  </si>
  <si>
    <t>Lock Nut 23</t>
  </si>
  <si>
    <t>Lock Nut 12</t>
  </si>
  <si>
    <t>Lock Nut 13</t>
  </si>
  <si>
    <t>Lock Nut 1</t>
  </si>
  <si>
    <t>Lock Nut 10</t>
  </si>
  <si>
    <t>Lock Nut 11</t>
  </si>
  <si>
    <t>Lock Nut 2</t>
  </si>
  <si>
    <t>Lock Nut 20</t>
  </si>
  <si>
    <t>Lock Nut 21</t>
  </si>
  <si>
    <t>Lock Nut 3</t>
  </si>
  <si>
    <t>Lock Nut 14</t>
  </si>
  <si>
    <t>Lock Nut 15</t>
  </si>
  <si>
    <t>Lock Nut 4</t>
  </si>
  <si>
    <t>Lock Nut 19</t>
  </si>
  <si>
    <t>Lock Nut 18</t>
  </si>
  <si>
    <t>Lock Ring</t>
  </si>
  <si>
    <t>Lower Head Race</t>
  </si>
  <si>
    <t>Lock Washer 4</t>
  </si>
  <si>
    <t>Lock Washer 5</t>
  </si>
  <si>
    <t>Lock Washer 10</t>
  </si>
  <si>
    <t>Lock Washer 6</t>
  </si>
  <si>
    <t>Lock Washer 13</t>
  </si>
  <si>
    <t>Lock Washer 8</t>
  </si>
  <si>
    <t>Lock Washer 1</t>
  </si>
  <si>
    <t>Lock Washer 7</t>
  </si>
  <si>
    <t>Lock Washer 12</t>
  </si>
  <si>
    <t>Lock Washer 2</t>
  </si>
  <si>
    <t>Lock Washer 9</t>
  </si>
  <si>
    <t>Lock Washer 3</t>
  </si>
  <si>
    <t>Lock Washer 11</t>
  </si>
  <si>
    <t>Metal Angle</t>
  </si>
  <si>
    <t>Metal Bar 1</t>
  </si>
  <si>
    <t>Sheet Metal Racks</t>
  </si>
  <si>
    <t>Metal Bar 2</t>
  </si>
  <si>
    <t>Metal Plate 2</t>
  </si>
  <si>
    <t>Metal Plate 1</t>
  </si>
  <si>
    <t>Metal Plate 3</t>
  </si>
  <si>
    <t>Metal Sheet 2</t>
  </si>
  <si>
    <t>Metal Sheet 3</t>
  </si>
  <si>
    <t>Metal Sheet 7</t>
  </si>
  <si>
    <t>Metal Sheet 4</t>
  </si>
  <si>
    <t>Metal Sheet 5</t>
  </si>
  <si>
    <t>Metal Sheet 6</t>
  </si>
  <si>
    <t>Metal Sheet 1</t>
  </si>
  <si>
    <t>Metal Tread Plate</t>
  </si>
  <si>
    <t>LL Nipple</t>
  </si>
  <si>
    <t>HL Nipple</t>
  </si>
  <si>
    <t>Paint - Black</t>
  </si>
  <si>
    <t>Paint</t>
  </si>
  <si>
    <t>Paint Shop</t>
  </si>
  <si>
    <t>Paint Storage</t>
  </si>
  <si>
    <t>Paint - Red</t>
  </si>
  <si>
    <t>Paint - Silver</t>
  </si>
  <si>
    <t>Paint - Blue</t>
  </si>
  <si>
    <t>Paint - Yellow</t>
  </si>
  <si>
    <t>Pinch Bolt</t>
  </si>
  <si>
    <t>Cup-Shaped Race</t>
  </si>
  <si>
    <t>Cone-Shaped Race</t>
  </si>
  <si>
    <t>Reflector</t>
  </si>
  <si>
    <t>LL Mountain Rim</t>
  </si>
  <si>
    <t>ML Mountain Rim</t>
  </si>
  <si>
    <t>HL Mountain Rim</t>
  </si>
  <si>
    <t>LL Road Rim</t>
  </si>
  <si>
    <t>ML Road Rim</t>
  </si>
  <si>
    <t>HL Road Rim</t>
  </si>
  <si>
    <t>Touring Rim</t>
  </si>
  <si>
    <t>LL Mountain Seat Assembly</t>
  </si>
  <si>
    <t>ML Mountain Seat Assembly</t>
  </si>
  <si>
    <t>HL Mountain Seat Assembly</t>
  </si>
  <si>
    <t>LL Road Seat Assembly</t>
  </si>
  <si>
    <t>ML Road Seat Assembly</t>
  </si>
  <si>
    <t>HL Road Seat Assembly</t>
  </si>
  <si>
    <t>LL Touring Seat Assembly</t>
  </si>
  <si>
    <t>ML Touring Seat Assembly</t>
  </si>
  <si>
    <t>HL Touring Seat Assembly</t>
  </si>
  <si>
    <t>LL Spindle/Axle</t>
  </si>
  <si>
    <t>HL Spindle/Axle</t>
  </si>
  <si>
    <t>LL Shell</t>
  </si>
  <si>
    <t>HL Shell</t>
  </si>
  <si>
    <t>Spokes</t>
  </si>
  <si>
    <t>Seat Lug</t>
  </si>
  <si>
    <t>Stem</t>
  </si>
  <si>
    <t>Seat Post</t>
  </si>
  <si>
    <t>Steerer</t>
  </si>
  <si>
    <t>Seat Stays</t>
  </si>
  <si>
    <t>Seat Tube</t>
  </si>
  <si>
    <t>Top Tube</t>
  </si>
  <si>
    <t>Tension Pulley</t>
  </si>
  <si>
    <t>Rear Derailleur Cage</t>
  </si>
  <si>
    <t>Sport-100 Helmet, Red</t>
  </si>
  <si>
    <t>Finished Goods Storage</t>
  </si>
  <si>
    <t>Sport-100 Helmet, Black</t>
  </si>
  <si>
    <t>Mountain Bike Socks, M</t>
  </si>
  <si>
    <t>Mountain Bike Socks, L</t>
  </si>
  <si>
    <t>Sport-100 Helmet, Blue</t>
  </si>
  <si>
    <t>AWC Logo Cap</t>
  </si>
  <si>
    <t>Long-Sleeve Logo Jersey, S</t>
  </si>
  <si>
    <t>Long-Sleeve Logo Jersey, M</t>
  </si>
  <si>
    <t>Long-Sleeve Logo Jersey, L</t>
  </si>
  <si>
    <t>Long-Sleeve Logo Jersey, XL</t>
  </si>
  <si>
    <t>HL Mountain Frame - Black, 38</t>
  </si>
  <si>
    <t>Debur and Polish</t>
  </si>
  <si>
    <t>HL Mountain Frame - Silver, 38</t>
  </si>
  <si>
    <t>Specialized Paint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</si>
  <si>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</si>
  <si>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</si>
  <si>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</si>
  <si>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</si>
  <si>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</si>
  <si>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</si>
  <si>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</si>
  <si>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</si>
  <si>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</si>
  <si>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</si>
  <si>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</si>
  <si>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</si>
  <si>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</si>
  <si>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</si>
  <si>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</si>
  <si>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</si>
  <si>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</si>
  <si>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</si>
  <si>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</si>
  <si>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</si>
  <si>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</si>
  <si>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</si>
  <si>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Silver, 38</t>
  </si>
  <si>
    <t>Mountain-100 Silver, 42</t>
  </si>
  <si>
    <t>Mountain-100 Silver, 44</t>
  </si>
  <si>
    <t>Mountain-100 Silver, 48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</si>
  <si>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</si>
  <si>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</si>
  <si>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</si>
  <si>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</si>
  <si>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</si>
  <si>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</si>
  <si>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</si>
  <si>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</si>
  <si>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</si>
  <si>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</si>
  <si>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</si>
  <si>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</si>
  <si>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</si>
  <si>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</si>
  <si>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Red, 44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</si>
  <si>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</si>
  <si>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</si>
  <si>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</si>
  <si>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</si>
  <si>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</si>
  <si>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</si>
  <si>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</si>
  <si>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Road-550-W Yellow, 38</t>
  </si>
  <si>
    <t>Road-550-W Yellow, 40</t>
  </si>
  <si>
    <t>Road-550-W Yellow, 42</t>
  </si>
  <si>
    <t>Road-550-W Yellow, 44</t>
  </si>
  <si>
    <t>Road-550-W Yellow, 48</t>
  </si>
  <si>
    <t>LL Fork</t>
  </si>
  <si>
    <t>ML Fork</t>
  </si>
  <si>
    <t>HL Fork</t>
  </si>
  <si>
    <t>LL Headset</t>
  </si>
  <si>
    <t>ML Headset</t>
  </si>
  <si>
    <t>HL Headset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</si>
  <si>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</si>
  <si>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</si>
  <si>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</si>
  <si>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</si>
  <si>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</si>
  <si>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</si>
  <si>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ML Mountain Frame - Black, 38</t>
  </si>
  <si>
    <t>LL Mountain Front Wheel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</si>
  <si>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</si>
  <si>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</si>
  <si>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</si>
  <si>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</si>
  <si>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</si>
  <si>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</si>
  <si>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ML Road Frame-W - Yellow, 38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</si>
  <si>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</si>
  <si>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</si>
  <si>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</si>
  <si>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</si>
  <si>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</si>
  <si>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</si>
  <si>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</si>
  <si>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Men's Sports Shorts, S</t>
  </si>
  <si>
    <t>Touring-Panniers, Large</t>
  </si>
  <si>
    <t>Cable Lock</t>
  </si>
  <si>
    <t>Minipump</t>
  </si>
  <si>
    <t>Mountain Pump</t>
  </si>
  <si>
    <t>Taillights - Battery-Powered</t>
  </si>
  <si>
    <t>Headlights - Dual-Beam</t>
  </si>
  <si>
    <t>Headlights - Weatherproof</t>
  </si>
  <si>
    <t>Men's Sports Shorts, M</t>
  </si>
  <si>
    <t>Men's Sports Shorts, L</t>
  </si>
  <si>
    <t>Men's Sports Shorts, XL</t>
  </si>
  <si>
    <t>Women's Tights, S</t>
  </si>
  <si>
    <t>Women's Tights, M</t>
  </si>
  <si>
    <t>Women's Tights, L</t>
  </si>
  <si>
    <t>Men's Bib-Shorts, S</t>
  </si>
  <si>
    <t>Men's Bib-Shorts, M</t>
  </si>
  <si>
    <t>Men's Bib-Shorts, L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</si>
  <si>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</si>
  <si>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</si>
  <si>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</si>
  <si>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</si>
  <si>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</si>
  <si>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</si>
  <si>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Classic Vest, S</t>
  </si>
  <si>
    <t>Classic Vest, M</t>
  </si>
  <si>
    <t>Classic Vest, L</t>
  </si>
  <si>
    <t>Women's Mountain Shorts, S</t>
  </si>
  <si>
    <t>Women's Mountain Shorts, M</t>
  </si>
  <si>
    <t>Women's Mountain Shorts, L</t>
  </si>
  <si>
    <t>Water Bottle - 30 oz.</t>
  </si>
  <si>
    <t>Mountain Bottle Cage</t>
  </si>
  <si>
    <t>Road Bottle Cage</t>
  </si>
  <si>
    <t>Patch Kit/8 Patches</t>
  </si>
  <si>
    <t>Racing Socks, M</t>
  </si>
  <si>
    <t>Racing Socks, L</t>
  </si>
  <si>
    <t>Hitch Rack - 4-Bike</t>
  </si>
  <si>
    <t>Bike Wash - Dissolver</t>
  </si>
  <si>
    <t>Fender Set - Mountain</t>
  </si>
  <si>
    <t>All-Purpose Bike Stand</t>
  </si>
  <si>
    <t>Hydration Pack - 70 oz.</t>
  </si>
  <si>
    <t>Short-Sleeve Classic Jersey, S</t>
  </si>
  <si>
    <t>Short-Sleeve Classic Jersey, M</t>
  </si>
  <si>
    <t>Short-Sleeve Classic Jersey, L</t>
  </si>
  <si>
    <t>Short-Sleeve Classic Jersey, XL</t>
  </si>
  <si>
    <t>Rear Derailleur</t>
  </si>
  <si>
    <t>Rear Brakes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</si>
  <si>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</si>
  <si>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</si>
  <si>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</si>
  <si>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</si>
  <si>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</si>
  <si>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</si>
  <si>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</si>
  <si>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</si>
  <si>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</si>
  <si>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</si>
  <si>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</si>
  <si>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</si>
  <si>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</si>
  <si>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</si>
  <si>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</si>
  <si>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</si>
  <si>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</si>
  <si>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</si>
  <si>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</si>
  <si>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</si>
  <si>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</si>
  <si>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</si>
  <si>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</si>
  <si>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</si>
  <si>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</si>
  <si>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</si>
  <si>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</si>
  <si>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Black, 40</t>
  </si>
  <si>
    <t>LL Mountain Frame - Silver, 40</t>
  </si>
  <si>
    <t>Front Derailleur</t>
  </si>
  <si>
    <t>LL Touring Handlebars</t>
  </si>
  <si>
    <t>HL Touring Handlebars</t>
  </si>
  <si>
    <t>Front Brakes</t>
  </si>
  <si>
    <t>LL Crankset</t>
  </si>
  <si>
    <t>ML Crankset</t>
  </si>
  <si>
    <t>HL Crankset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</si>
  <si>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</si>
  <si>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</si>
  <si>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</si>
  <si>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</si>
  <si>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</si>
  <si>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</si>
  <si>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</si>
  <si>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</si>
  <si>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</si>
  <si>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</si>
  <si>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</si>
  <si>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</si>
  <si>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</si>
  <si>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</si>
  <si>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</si>
  <si>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</si>
  <si>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</si>
  <si>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</si>
  <si>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</si>
  <si>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</si>
  <si>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</si>
  <si>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</si>
  <si>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</si>
  <si>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</si>
  <si>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</si>
  <si>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Road-750 Black, 58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</si>
  <si>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</si>
  <si>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</si>
  <si>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</si>
  <si>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</si>
  <si>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</si>
  <si>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</si>
  <si>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</si>
  <si>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</si>
  <si>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</si>
  <si>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</si>
  <si>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</si>
  <si>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Mountain-500 Black, 40</t>
  </si>
  <si>
    <t>Mountain-500 Black, 42</t>
  </si>
  <si>
    <t>Mountain-500 Black, 44</t>
  </si>
  <si>
    <t>Mountain-500 Black, 48</t>
  </si>
  <si>
    <t>Mountain-500 Black, 52</t>
  </si>
  <si>
    <t>LL Bottom Bracket</t>
  </si>
  <si>
    <t>ML Bottom Bracket</t>
  </si>
  <si>
    <t>HL Bottom Bracket</t>
  </si>
  <si>
    <t>Road-750 Black, 44</t>
  </si>
  <si>
    <t>Road-750 Black, 48</t>
  </si>
  <si>
    <t>Road-750 Black, 52</t>
  </si>
  <si>
    <t>Categoria</t>
  </si>
  <si>
    <t>EstoqueAtual</t>
  </si>
  <si>
    <t>StandartCost</t>
  </si>
  <si>
    <t>ValorEstoque</t>
  </si>
  <si>
    <t>Participacao</t>
  </si>
  <si>
    <t>ParticipacaoAcumulada</t>
  </si>
  <si>
    <t>ClasseABC</t>
  </si>
  <si>
    <t>Components</t>
  </si>
  <si>
    <t>Bikes</t>
  </si>
  <si>
    <t>Clothing</t>
  </si>
  <si>
    <t>Accessories</t>
  </si>
  <si>
    <t>Ano</t>
  </si>
  <si>
    <t>QuantidadeVendida</t>
  </si>
  <si>
    <t>QuantidadeProduzida</t>
  </si>
  <si>
    <t>Saldo</t>
  </si>
  <si>
    <t>PercentualAtendimento</t>
  </si>
  <si>
    <t>ReorderPoint</t>
  </si>
  <si>
    <t>Situacao</t>
  </si>
  <si>
    <t>OK</t>
  </si>
  <si>
    <t>Repor</t>
  </si>
  <si>
    <t>Rótulos de Linha</t>
  </si>
  <si>
    <t>Total Geral</t>
  </si>
  <si>
    <t>Soma de Quantidade Estoque</t>
  </si>
  <si>
    <t>C</t>
  </si>
  <si>
    <t>A</t>
  </si>
  <si>
    <t>B</t>
  </si>
  <si>
    <t>Soma de QuantidadeVendida</t>
  </si>
  <si>
    <t>Rótulos de Coluna</t>
  </si>
  <si>
    <t>Soma de QuantidadeProduzida</t>
  </si>
  <si>
    <t>Valores</t>
  </si>
  <si>
    <t>Soma de Participacao</t>
  </si>
  <si>
    <t>Contagem de EstoqueAtual</t>
  </si>
  <si>
    <t>Vendas</t>
  </si>
  <si>
    <t>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</si>
</sst>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2">
    <dxf>
      <font>
        <u val="none"/>
        <color theme="1" tint="0.499984740745262"/>
        <name val="Aptos"/>
        <family val="2"/>
        <scheme val="none"/>
      </font>
      <fill>
        <patternFill patternType="solid">
          <bgColor theme="1" tint="0.499984740745262"/>
        </patternFill>
      </fill>
    </dxf>
    <dxf>
      <font>
        <b/>
        <i val="0"/>
        <sz val="12"/>
        <color auto="1"/>
      </font>
      <fill>
        <patternFill patternType="solid">
          <fgColor auto="1"/>
          <bgColor theme="1" tint="0.499984740745262"/>
        </patternFill>
      </fill>
      <border>
        <left/>
        <right/>
        <top/>
        <bottom/>
      </border>
    </dxf>
  </dxfs>
  <tableStyles count="1" defaultTableStyle="TableStyleMedium2" defaultPivotStyle="PivotStyleLight16">
    <tableStyle name="Estilo de Segmentação de Dados 1" pivot="0" table="0" count="9" xr9:uid="{2A075AF7-47EA-48FD-B914-234190EC52E8}">
      <tableStyleElement type="wholeTable" dxfId="1"/>
      <tableStyleElement type="headerRow" dxfId="0"/>
    </tableStyle>
  </tableStyles>
  <colors>
    <mruColors>
      <color rgb="FFCFCFCF"/>
    </mruColors>
  </colors>
  <extLst>
    <ext xmlns:x14="http://schemas.microsoft.com/office/spreadsheetml/2009/9/main" uri="{46F421CA-312F-682f-3DD2-61675219B42D}">
      <x14:dxfs count="7">
        <dxf>
          <font>
            <u/>
            <color theme="0"/>
          </font>
          <fill>
            <patternFill>
              <bgColor theme="1"/>
            </patternFill>
          </fill>
        </dxf>
        <dxf>
          <font>
            <color theme="0"/>
          </font>
          <fill>
            <patternFill>
              <bgColor theme="1"/>
            </patternFill>
          </fill>
        </dxf>
        <dxf>
          <font>
            <u/>
            <color theme="0"/>
          </font>
          <fill>
            <patternFill>
              <fgColor rgb="FF92D050"/>
              <bgColor theme="1"/>
            </patternFill>
          </fill>
        </dxf>
        <dxf>
          <font>
            <color theme="0"/>
          </font>
          <fill>
            <patternFill>
              <bgColor theme="1"/>
            </patternFill>
          </fill>
        </dxf>
        <dxf>
          <font>
            <color theme="0"/>
          </font>
          <fill>
            <patternFill>
              <bgColor rgb="FFFFC000"/>
            </patternFill>
          </fill>
        </dxf>
        <dxf>
          <font>
            <u/>
            <color theme="0"/>
          </font>
          <fill>
            <patternFill patternType="solid">
              <fgColor auto="1"/>
              <bgColor theme="1"/>
            </patternFill>
          </fill>
        </dxf>
        <dxf>
          <font>
            <u val="none"/>
            <color theme="1"/>
          </font>
          <fill>
            <patternFill>
              <bgColor theme="0" tint="-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[Dashboard_Estoque_AdventureWorks.xlsx]TabDinam!Tabela dinâmica2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DO</a:t>
            </a:r>
            <a:r>
              <a:rPr lang="en-US"/>
              <a:t> ESTOQUE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470973464895468"/>
          <c:y val="0.10999505436498541"/>
          <c:w val="0.79489156345025713"/>
          <c:h val="0.846931054641250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TabDinam!$B$12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TabDinam!$A$13:$A$27</c:f>
              <c:strCache>
                <c:ptCount val="14"/>
                <c:pt idx="0">
                  <c:v>Paint Storage</c:v>
                </c:pt>
                <c:pt idx="1">
                  <c:v>Paint Shop</c:v>
                </c:pt>
                <c:pt idx="2">
                  <c:v>Specialized Paint</c:v>
                </c:pt>
                <c:pt idx="3">
                  <c:v>Paint</c:v>
                </c:pt>
                <c:pt idx="4">
                  <c:v>Debur and Polish</c:v>
                </c:pt>
                <c:pt idx="5">
                  <c:v>Frame Welding</c:v>
                </c:pt>
                <c:pt idx="6">
                  <c:v>Sheet Metal Racks</c:v>
                </c:pt>
                <c:pt idx="7">
                  <c:v>Frame Forming</c:v>
                </c:pt>
                <c:pt idx="8">
                  <c:v>Finished Goods Storage</c:v>
                </c:pt>
                <c:pt idx="9">
                  <c:v>Metal Storage</c:v>
                </c:pt>
                <c:pt idx="10">
                  <c:v>Final Assembly</c:v>
                </c:pt>
                <c:pt idx="11">
                  <c:v>Tool Crib</c:v>
                </c:pt>
                <c:pt idx="12">
                  <c:v>Miscellaneous Storage</c:v>
                </c:pt>
                <c:pt idx="13">
                  <c:v>Subassembly</c:v>
                </c:pt>
              </c:strCache>
            </c:strRef>
          </c:cat>
          <c:val>
            <c:numRef>
              <c:f>TabDinam!$B$13:$B$27</c:f>
              <c:numCache>
                <c:formatCode>General</c:formatCode>
                <c:ptCount val="14"/>
                <c:pt idx="0">
                  <c:v>110</c:v>
                </c:pt>
                <c:pt idx="1">
                  <c:v>186</c:v>
                </c:pt>
                <c:pt idx="2">
                  <c:v>332</c:v>
                </c:pt>
                <c:pt idx="3">
                  <c:v>508</c:v>
                </c:pt>
                <c:pt idx="4">
                  <c:v>958</c:v>
                </c:pt>
                <c:pt idx="5">
                  <c:v>5165</c:v>
                </c:pt>
                <c:pt idx="6">
                  <c:v>5549</c:v>
                </c:pt>
                <c:pt idx="7">
                  <c:v>13584</c:v>
                </c:pt>
                <c:pt idx="8">
                  <c:v>17319</c:v>
                </c:pt>
                <c:pt idx="9">
                  <c:v>20295</c:v>
                </c:pt>
                <c:pt idx="10">
                  <c:v>20419</c:v>
                </c:pt>
                <c:pt idx="11">
                  <c:v>72899</c:v>
                </c:pt>
                <c:pt idx="12">
                  <c:v>83173</c:v>
                </c:pt>
                <c:pt idx="13">
                  <c:v>95477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4-4B3F-88AC-3A46361373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62237007"/>
        <c:axId val="862235567"/>
      </c:barChart>
      <c:catAx>
        <c:axId val="86223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2235567"/>
        <c:crosses val="autoZero"/>
        <c:auto val="1"/>
        <c:lblAlgn val="ctr"/>
        <c:lblOffset val="100"/>
        <c:noMultiLvlLbl val="0"/>
      </c:catAx>
      <c:valAx>
        <c:axId val="862235567"/>
        <c:scaling>
          <c:orientation val="minMax"/>
          <c:max val="10000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6223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[Dashboard_Estoque_AdventureWorks.xlsx]TabDinam!Tabela dinâmica6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PRODUÇÃO X DEMANDA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TabDinam!$H$21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92-416E-A479-DE83D516E13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92-416E-A479-DE83D516E1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TabDinam!$G$22:$G$23</c:f>
              <c:strCache>
                <c:ptCount val="2"/>
                <c:pt idx="0">
                  <c:v>Vendas</c:v>
                </c:pt>
                <c:pt idx="1">
                  <c:v>Produção</c:v>
                </c:pt>
              </c:strCache>
            </c:strRef>
          </c:cat>
          <c:val>
            <c:numRef>
              <c:f>TabDinam!$H$22:$H$23</c:f>
              <c:numCache>
                <c:formatCode>General</c:formatCode>
                <c:ptCount val="2"/>
                <c:pt idx="0">
                  <c:v>9610</c:v>
                </c:pt>
                <c:pt idx="1">
                  <c:v>90656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92-416E-A479-DE83D516E13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5818713863639596E-2"/>
          <c:y val="0.69878643867741386"/>
          <c:w val="9.3934941616527587E-2"/>
          <c:h val="0.132145763965963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[Dashboard_Estoque_AdventureWorks.xlsx]TabDinam!Tabela dinâmica5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SITUAÇÃO</a:t>
            </a:r>
            <a:r>
              <a:rPr lang="en-US" baseline="0"/>
              <a:t> PRODUTOS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TabDinam!$I$14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C4-425D-BFFD-9AD741F1D83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C4-425D-BFFD-9AD741F1D8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TabDinam!$H$15:$H$17</c:f>
              <c:strCache>
                <c:ptCount val="2"/>
                <c:pt idx="0">
                  <c:v>OK</c:v>
                </c:pt>
                <c:pt idx="1">
                  <c:v>Repor</c:v>
                </c:pt>
              </c:strCache>
            </c:strRef>
          </c:cat>
          <c:val>
            <c:numRef>
              <c:f>TabDinam!$I$15:$I$17</c:f>
              <c:numCache>
                <c:formatCode>General</c:formatCode>
                <c:ptCount val="2"/>
                <c:pt idx="0">
                  <c:v>424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C4-425D-BFFD-9AD741F1D8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[Dashboard_Estoque_AdventureWorks.xlsx]TabDinam!Tabela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VENDAS POR CLASSE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TabDinam!$B$3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TabDinam!$A$4:$A$7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TabDinam!$B$4:$B$7</c:f>
              <c:numCache>
                <c:formatCode>0.0%</c:formatCode>
                <c:ptCount val="3"/>
                <c:pt idx="0">
                  <c:v>0.79867599725355554</c:v>
                </c:pt>
                <c:pt idx="1">
                  <c:v>0.15131940821286791</c:v>
                </c:pt>
                <c:pt idx="2">
                  <c:v>5.0004594533576877E-2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6-418E-8484-D78E96E7EE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77333807"/>
        <c:axId val="1377327087"/>
      </c:barChart>
      <c:catAx>
        <c:axId val="137733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7327087"/>
        <c:crosses val="autoZero"/>
        <c:auto val="1"/>
        <c:lblAlgn val="ctr"/>
        <c:lblOffset val="100"/>
        <c:noMultiLvlLbl val="0"/>
      </c:catAx>
      <c:valAx>
        <c:axId val="1377327087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773338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283028</xdr:colOff>
      <xdr:row>17</xdr:row>
      <xdr:rowOff>61232</xdr:rowOff>
    </xdr:from>
    <xdr:to>
      <xdr:col>11</xdr:col>
      <xdr:colOff>425903</xdr:colOff>
      <xdr:row>34</xdr:row>
      <xdr:rowOff>65996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ED5F45-94AB-4D42-8B89-AF6E55185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492577</xdr:colOff>
      <xdr:row>17</xdr:row>
      <xdr:rowOff>53067</xdr:rowOff>
    </xdr:from>
    <xdr:to>
      <xdr:col>23</xdr:col>
      <xdr:colOff>24320</xdr:colOff>
      <xdr:row>34</xdr:row>
      <xdr:rowOff>58167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FD7679A-0A14-B866-5526-1AEAAEA83F1B}"/>
            </a:ext>
          </a:extLst>
        </xdr:cNvPr>
        <xdr:cNvGrpSpPr/>
      </xdr:nvGrpSpPr>
      <xdr:grpSpPr>
        <a:xfrm>
          <a:off x="7236715" y="3217119"/>
          <a:ext cx="6888984" cy="3169151"/>
          <a:chOff x="8066792" y="434154"/>
          <a:chExt cx="6168072" cy="3219450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4210AFA5-3842-4DA3-9712-9A4A6CFABE56}"/>
              </a:ext>
            </a:extLst>
          </xdr:cNvPr>
          <xdr:cNvGraphicFramePr>
            <a:graphicFrameLocks/>
          </xdr:cNvGraphicFramePr>
        </xdr:nvGraphicFramePr>
        <xdr:xfrm>
          <a:off x="8066792" y="434154"/>
          <a:ext cx="6168072" cy="32194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Ano">
                <a:extLst>
                  <a:ext uri="{FF2B5EF4-FFF2-40B4-BE49-F238E27FC236}">
                    <a16:creationId xmlns:a16="http://schemas.microsoft.com/office/drawing/2014/main" id="{21369612-559E-4656-AD23-683E5805B6EF}"/>
                  </a:ext>
                </a:extLst>
              </xdr:cNvPr>
              <xdr:cNvGraphicFramePr/>
            </xdr:nvGraphicFramePr>
            <xdr:xfrm>
              <a:off x="13399540" y="1890076"/>
              <a:ext cx="669471" cy="1600200"/>
            </xdr:xfrm>
            <a:graphic>
              <a:graphicData uri="http://schemas.microsoft.com/office/drawing/2010/slicer">
                <sle:slicer xmlns:sle="http://schemas.microsoft.com/office/drawing/2010/slicer" name="An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066959" y="4758410"/>
                <a:ext cx="740053" cy="161220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11</xdr:col>
      <xdr:colOff>502103</xdr:colOff>
      <xdr:row>34</xdr:row>
      <xdr:rowOff>141514</xdr:rowOff>
    </xdr:from>
    <xdr:to>
      <xdr:col>23</xdr:col>
      <xdr:colOff>33846</xdr:colOff>
      <xdr:row>51</xdr:row>
      <xdr:rowOff>146614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306C95-1C3F-4D19-ABCB-7E00F16A3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265339</xdr:colOff>
      <xdr:row>34</xdr:row>
      <xdr:rowOff>134712</xdr:rowOff>
    </xdr:from>
    <xdr:to>
      <xdr:col>11</xdr:col>
      <xdr:colOff>409403</xdr:colOff>
      <xdr:row>51</xdr:row>
      <xdr:rowOff>139812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4393707-5634-4413-B7DE-5A136E19C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336177</xdr:colOff>
      <xdr:row>12</xdr:row>
      <xdr:rowOff>78441</xdr:rowOff>
    </xdr:from>
    <xdr:to>
      <xdr:col>10</xdr:col>
      <xdr:colOff>107257</xdr:colOff>
      <xdr:row>16</xdr:row>
      <xdr:rowOff>176892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EBE99276-1F7A-CDB3-D172-BDE8C746A19A}"/>
            </a:ext>
          </a:extLst>
        </xdr:cNvPr>
        <xdr:cNvGrpSpPr/>
      </xdr:nvGrpSpPr>
      <xdr:grpSpPr>
        <a:xfrm>
          <a:off x="3401694" y="2311889"/>
          <a:ext cx="2836597" cy="842934"/>
          <a:chOff x="3686735" y="2263587"/>
          <a:chExt cx="2819080" cy="961305"/>
        </a:xfrm>
      </xdr:grpSpPr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594FF75A-B9E2-A27A-067B-4CE5B424EDB4}"/>
              </a:ext>
            </a:extLst>
          </xdr:cNvPr>
          <xdr:cNvGrpSpPr/>
        </xdr:nvGrpSpPr>
        <xdr:grpSpPr>
          <a:xfrm>
            <a:off x="3686735" y="2263587"/>
            <a:ext cx="2819080" cy="961305"/>
            <a:chOff x="3686735" y="2263587"/>
            <a:chExt cx="2819080" cy="961305"/>
          </a:xfrm>
        </xdr:grpSpPr>
        <xdr:grpSp>
          <xdr:nvGrpSpPr>
            <xdr:cNvPr id="11" name="Agrupar 10">
              <a:extLst>
                <a:ext uri="{FF2B5EF4-FFF2-40B4-BE49-F238E27FC236}">
                  <a16:creationId xmlns:a16="http://schemas.microsoft.com/office/drawing/2014/main" id="{3D451E18-6894-743A-3097-A09279E6EF9D}"/>
                </a:ext>
              </a:extLst>
            </xdr:cNvPr>
            <xdr:cNvGrpSpPr/>
          </xdr:nvGrpSpPr>
          <xdr:grpSpPr>
            <a:xfrm>
              <a:off x="3686735" y="2263587"/>
              <a:ext cx="2819080" cy="961305"/>
              <a:chOff x="1115786" y="1891393"/>
              <a:chExt cx="2939143" cy="1265464"/>
            </a:xfrm>
          </xdr:grpSpPr>
          <xdr:sp macro="" textlink="">
            <xdr:nvSpPr>
              <xdr:cNvPr id="9" name="Retângulo 8">
                <a:extLst>
                  <a:ext uri="{FF2B5EF4-FFF2-40B4-BE49-F238E27FC236}">
                    <a16:creationId xmlns:a16="http://schemas.microsoft.com/office/drawing/2014/main" id="{192692CD-F328-B528-605C-97B8EF9AB21B}"/>
                  </a:ext>
                </a:extLst>
              </xdr:cNvPr>
              <xdr:cNvSpPr/>
            </xdr:nvSpPr>
            <xdr:spPr>
              <a:xfrm>
                <a:off x="1115786" y="1891393"/>
                <a:ext cx="2939143" cy="1265464"/>
              </a:xfrm>
              <a:prstGeom prst="rect">
                <a:avLst/>
              </a:prstGeom>
              <a:solidFill>
                <a:schemeClr val="tx1">
                  <a:lumMod val="50000"/>
                  <a:lumOff val="5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10" name="Retângulo 9">
                <a:extLst>
                  <a:ext uri="{FF2B5EF4-FFF2-40B4-BE49-F238E27FC236}">
                    <a16:creationId xmlns:a16="http://schemas.microsoft.com/office/drawing/2014/main" id="{CE506BE9-134F-201F-C913-23E1D451246A}"/>
                  </a:ext>
                </a:extLst>
              </xdr:cNvPr>
              <xdr:cNvSpPr/>
            </xdr:nvSpPr>
            <xdr:spPr>
              <a:xfrm>
                <a:off x="1224643" y="2068285"/>
                <a:ext cx="2721428" cy="966108"/>
              </a:xfrm>
              <a:prstGeom prst="rect">
                <a:avLst/>
              </a:prstGeom>
              <a:solidFill>
                <a:schemeClr val="bg1">
                  <a:lumMod val="75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7001C9E3-9880-5F72-4CCA-FDD8F033D6C6}"/>
                </a:ext>
              </a:extLst>
            </xdr:cNvPr>
            <xdr:cNvSpPr txBox="1"/>
          </xdr:nvSpPr>
          <xdr:spPr>
            <a:xfrm>
              <a:off x="4572000" y="2476500"/>
              <a:ext cx="1030941" cy="3361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2000" b="1"/>
                <a:t>335974</a:t>
              </a:r>
              <a:endParaRPr lang="pt-BR" sz="1100" b="1"/>
            </a:p>
          </xdr:txBody>
        </xdr:sp>
      </xdr:grpSp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3B248CC8-95CC-537D-5AAC-D4E2618DDD62}"/>
              </a:ext>
            </a:extLst>
          </xdr:cNvPr>
          <xdr:cNvSpPr txBox="1"/>
        </xdr:nvSpPr>
        <xdr:spPr>
          <a:xfrm>
            <a:off x="3832411" y="2801471"/>
            <a:ext cx="2487705" cy="280147"/>
          </a:xfrm>
          <a:prstGeom prst="rect">
            <a:avLst/>
          </a:prstGeom>
          <a:solidFill>
            <a:schemeClr val="bg1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600" b="1" u="sng"/>
              <a:t>PRODUTOS EM ESTOQUE</a:t>
            </a:r>
          </a:p>
        </xdr:txBody>
      </xdr:sp>
    </xdr:grpSp>
    <xdr:clientData/>
  </xdr:twoCellAnchor>
  <xdr:twoCellAnchor>
    <xdr:from>
      <xdr:col>12</xdr:col>
      <xdr:colOff>392207</xdr:colOff>
      <xdr:row>12</xdr:row>
      <xdr:rowOff>89647</xdr:rowOff>
    </xdr:from>
    <xdr:to>
      <xdr:col>17</xdr:col>
      <xdr:colOff>163819</xdr:colOff>
      <xdr:row>16</xdr:row>
      <xdr:rowOff>188047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22365073-4378-4A65-AD8C-78D310AF62B8}"/>
            </a:ext>
          </a:extLst>
        </xdr:cNvPr>
        <xdr:cNvGrpSpPr/>
      </xdr:nvGrpSpPr>
      <xdr:grpSpPr>
        <a:xfrm>
          <a:off x="7749448" y="2323095"/>
          <a:ext cx="2837130" cy="842883"/>
          <a:chOff x="3686735" y="2263587"/>
          <a:chExt cx="2819080" cy="961305"/>
        </a:xfrm>
      </xdr:grpSpPr>
      <xdr:grpSp>
        <xdr:nvGrpSpPr>
          <xdr:cNvPr id="41" name="Agrupar 40">
            <a:extLst>
              <a:ext uri="{FF2B5EF4-FFF2-40B4-BE49-F238E27FC236}">
                <a16:creationId xmlns:a16="http://schemas.microsoft.com/office/drawing/2014/main" id="{D515A5A5-2857-7B84-D17B-9AFBCCDA22B4}"/>
              </a:ext>
            </a:extLst>
          </xdr:cNvPr>
          <xdr:cNvGrpSpPr/>
        </xdr:nvGrpSpPr>
        <xdr:grpSpPr>
          <a:xfrm>
            <a:off x="3686735" y="2263587"/>
            <a:ext cx="2819080" cy="961305"/>
            <a:chOff x="3686735" y="2263587"/>
            <a:chExt cx="2819080" cy="961305"/>
          </a:xfrm>
        </xdr:grpSpPr>
        <xdr:grpSp>
          <xdr:nvGrpSpPr>
            <xdr:cNvPr id="43" name="Agrupar 42">
              <a:extLst>
                <a:ext uri="{FF2B5EF4-FFF2-40B4-BE49-F238E27FC236}">
                  <a16:creationId xmlns:a16="http://schemas.microsoft.com/office/drawing/2014/main" id="{C2776B37-296B-CD86-2C38-5EA3BD658E40}"/>
                </a:ext>
              </a:extLst>
            </xdr:cNvPr>
            <xdr:cNvGrpSpPr/>
          </xdr:nvGrpSpPr>
          <xdr:grpSpPr>
            <a:xfrm>
              <a:off x="3686735" y="2263587"/>
              <a:ext cx="2819080" cy="961305"/>
              <a:chOff x="1115786" y="1891393"/>
              <a:chExt cx="2939143" cy="1265464"/>
            </a:xfrm>
          </xdr:grpSpPr>
          <xdr:sp macro="" textlink="">
            <xdr:nvSpPr>
              <xdr:cNvPr id="45" name="Retângulo 44">
                <a:extLst>
                  <a:ext uri="{FF2B5EF4-FFF2-40B4-BE49-F238E27FC236}">
                    <a16:creationId xmlns:a16="http://schemas.microsoft.com/office/drawing/2014/main" id="{9B68E8C1-77A2-DF6A-D58E-77151742FF1E}"/>
                  </a:ext>
                </a:extLst>
              </xdr:cNvPr>
              <xdr:cNvSpPr/>
            </xdr:nvSpPr>
            <xdr:spPr>
              <a:xfrm>
                <a:off x="1115786" y="1891393"/>
                <a:ext cx="2939143" cy="1265464"/>
              </a:xfrm>
              <a:prstGeom prst="rect">
                <a:avLst/>
              </a:prstGeom>
              <a:solidFill>
                <a:schemeClr val="tx1">
                  <a:lumMod val="50000"/>
                  <a:lumOff val="5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46" name="Retângulo 45">
                <a:extLst>
                  <a:ext uri="{FF2B5EF4-FFF2-40B4-BE49-F238E27FC236}">
                    <a16:creationId xmlns:a16="http://schemas.microsoft.com/office/drawing/2014/main" id="{ECAE6416-37C1-9635-C463-3197BD921A3C}"/>
                  </a:ext>
                </a:extLst>
              </xdr:cNvPr>
              <xdr:cNvSpPr/>
            </xdr:nvSpPr>
            <xdr:spPr>
              <a:xfrm>
                <a:off x="1224643" y="2068285"/>
                <a:ext cx="2721428" cy="966108"/>
              </a:xfrm>
              <a:prstGeom prst="rect">
                <a:avLst/>
              </a:prstGeom>
              <a:solidFill>
                <a:schemeClr val="bg1">
                  <a:lumMod val="75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">
          <xdr:nvSpPr>
            <xdr:cNvPr id="44" name="CaixaDeTexto 43">
              <a:extLst>
                <a:ext uri="{FF2B5EF4-FFF2-40B4-BE49-F238E27FC236}">
                  <a16:creationId xmlns:a16="http://schemas.microsoft.com/office/drawing/2014/main" id="{1A92CC38-0F13-9DC0-F918-71EC49D3720A}"/>
                </a:ext>
              </a:extLst>
            </xdr:cNvPr>
            <xdr:cNvSpPr txBox="1"/>
          </xdr:nvSpPr>
          <xdr:spPr>
            <a:xfrm>
              <a:off x="4572000" y="2476500"/>
              <a:ext cx="1030941" cy="3361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2000" b="1"/>
                <a:t>432</a:t>
              </a:r>
              <a:endParaRPr lang="pt-BR" sz="1100" b="1"/>
            </a:p>
          </xdr:txBody>
        </xdr:sp>
      </xdr:grp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41611E89-2BF8-A217-E2E7-22BDF4FAA742}"/>
              </a:ext>
            </a:extLst>
          </xdr:cNvPr>
          <xdr:cNvSpPr txBox="1"/>
        </xdr:nvSpPr>
        <xdr:spPr>
          <a:xfrm>
            <a:off x="3825689" y="2817161"/>
            <a:ext cx="2539251" cy="286870"/>
          </a:xfrm>
          <a:prstGeom prst="rect">
            <a:avLst/>
          </a:prstGeom>
          <a:solidFill>
            <a:schemeClr val="bg1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600" b="1" u="sng"/>
              <a:t>PRODUTOS NO</a:t>
            </a:r>
            <a:r>
              <a:rPr lang="pt-BR" sz="1600" b="1" u="sng" baseline="0"/>
              <a:t> INVENTÁRIO</a:t>
            </a:r>
            <a:endParaRPr lang="pt-BR" sz="1600" b="1" u="sng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Vitor Nascimento dos Santos" refreshedDate="46191.56083425926" createdVersion="8" refreshedVersion="8" minRefreshableVersion="3" recordCount="219" xr:uid="{028F3300-1C60-4989-8E9D-0E0842230365}">
  <cacheSource type="worksheet">
    <worksheetSource ref="A1:I220" sheet="Classe"/>
  </cacheSource>
  <cacheFields count="9">
    <cacheField name="ProductID" numFmtId="0">
      <sharedItems containsSemiMixedTypes="0" containsString="0" containsNumber="1" containsInteger="1" minValue="707" maxValue="999"/>
    </cacheField>
    <cacheField name="Produto" numFmtId="0">
      <sharedItems count="219">
        <s v="HL Mountain Frame - Black, 38"/>
        <s v="HL Mountain Frame - Silver, 38"/>
        <s v="Road-150 Red, 44"/>
        <s v="Mountain-100 Black, 42"/>
        <s v="Road-150 Red, 56"/>
        <s v="Road-250 Red, 58"/>
        <s v="Mountain-100 Silver, 48"/>
        <s v="Road-150 Red, 48"/>
        <s v="Mountain-100 Silver, 44"/>
        <s v="Mountain-100 Black, 38"/>
        <s v="Mountain-100 Silver, 42"/>
        <s v="Road-250 Black, 52"/>
        <s v="Mountain-100 Black, 48"/>
        <s v="Road-150 Red, 62"/>
        <s v="ML Road Frame-W - Yellow, 38"/>
        <s v="Mountain-100 Silver, 38"/>
        <s v="Mountain-100 Black, 44"/>
        <s v="Mountain-200 Silver, 42"/>
        <s v="Road-250 Red, 48"/>
        <s v="Road-150 Red, 52"/>
        <s v="Touring-1000 Blue, 46"/>
        <s v="Road-250 Black, 48"/>
        <s v="Road-250 Red, 44"/>
        <s v="Road-350-W Yellow, 48"/>
        <s v="Mountain-200 Black, 38"/>
        <s v="Road-250 Black, 58"/>
        <s v="Road-250 Red, 52"/>
        <s v="Touring-1000 Yellow, 60"/>
        <s v="Touring-1000 Yellow, 46"/>
        <s v="Touring-1000 Blue, 50"/>
        <s v="Road-250 Black, 44"/>
        <s v="Touring-1000 Yellow, 50"/>
        <s v="Road-350-W Yellow, 40"/>
        <s v="Touring-1000 Blue, 54"/>
        <s v="Touring-1000 Blue, 60"/>
        <s v="Mountain-200 Black, 42"/>
        <s v="Mountain-200 Silver, 46"/>
        <s v="Mountain-200 Silver, 38"/>
        <s v="Mountain-200 Black, 46"/>
        <s v="Touring-2000 Blue, 50"/>
        <s v="HL Crankset"/>
        <s v="ML Mountain Frame-W - Silver, 38"/>
        <s v="Road-550-W Yellow, 42"/>
        <s v="Road-350-W Yellow, 42"/>
        <s v="Road-450 Red, 52"/>
        <s v="Road-350-W Yellow, 44"/>
        <s v="ML Mountain Frame - Black, 38"/>
        <s v="Mountain-300 Black, 40"/>
        <s v="Road-450 Red, 58"/>
        <s v="Touring-2000 Blue, 60"/>
        <s v="Road-450 Red, 60"/>
        <s v="Road-450 Red, 48"/>
        <s v="Road-450 Red, 44"/>
        <s v="HL Mountain Rear Wheel"/>
        <s v="HL Road Rear Wheel"/>
        <s v="Touring-1000 Yellow, 54"/>
        <s v="HL Mountain Front Wheel"/>
        <s v="Road-650 Black, 52"/>
        <s v="Road-650 Red, 48"/>
        <s v="Road-550-W Yellow, 38"/>
        <s v="ML Crankset"/>
        <s v="ML Road Rear Wheel"/>
        <s v="Touring-2000 Blue, 46"/>
        <s v="HL Road Front Wheel"/>
        <s v="LL Mountain Frame - Silver, 40"/>
        <s v="LL Mountain Frame - Black, 40"/>
        <s v="Touring-2000 Blue, 54"/>
        <s v="Road-550-W Yellow, 48"/>
        <s v="Road-550-W Yellow, 40"/>
        <s v="Touring-3000 Blue, 58"/>
        <s v="Road-550-W Yellow, 44"/>
        <s v="HL Fork"/>
        <s v="Road-650 Black, 62"/>
        <s v="Touring-3000 Yellow, 58"/>
        <s v="Road-650 Red, 60"/>
        <s v="ML Road Front Wheel"/>
        <s v="ML Mountain Rear Wheel"/>
        <s v="Mountain-300 Black, 44"/>
        <s v="Mountain-300 Black, 38"/>
        <s v="Touring Rear Wheel"/>
        <s v="Road-650 Black, 60"/>
        <s v="Touring-3000 Yellow, 50"/>
        <s v="Road-650 Red, 58"/>
        <s v="Touring-3000 Yellow, 44"/>
        <s v="Mountain-300 Black, 48"/>
        <s v="ML Mountain Front Wheel"/>
        <s v="Touring-3000 Blue, 50"/>
        <s v="Touring-3000 Blue, 44"/>
        <s v="Touring-3000 Yellow, 62"/>
        <s v="Touring-3000 Blue, 54"/>
        <s v="Touring-3000 Yellow, 54"/>
        <s v="Touring-3000 Blue, 62"/>
        <s v="Road-650 Red, 62"/>
        <s v="Road-650 Black, 44"/>
        <s v="Touring Front Wheel"/>
        <s v="LL Crankset"/>
        <s v="Mountain-400-W Silver, 46"/>
        <s v="ML Fork"/>
        <s v="Road-650 Red, 52"/>
        <s v="Road-650 Red, 44"/>
        <s v="Road-750 Black, 52"/>
        <s v="Road-650 Black, 58"/>
        <s v="Road-650 Black, 48"/>
        <s v="Mountain-400-W Silver, 42"/>
        <s v="Mountain-400-W Silver, 40"/>
        <s v="Mountain-400-W Silver, 38"/>
        <s v="Mountain-500 Silver, 52"/>
        <s v="LL Fork"/>
        <s v="Road-750 Black, 48"/>
        <s v="Road-750 Black, 44"/>
        <s v="Road-750 Black, 58"/>
        <s v="HL Bottom Bracket"/>
        <s v="Mountain-500 Silver, 42"/>
        <s v="Mountain-500 Black, 48"/>
        <s v="Mountain-500 Silver, 48"/>
        <s v="Mountain-500 Silver, 40"/>
        <s v="Mountain-500 Silver, 44"/>
        <s v="Rear Derailleur"/>
        <s v="Mountain-500 Black, 44"/>
        <s v="Mountain-500 Black, 52"/>
        <s v="Mountain-500 Black, 42"/>
        <s v="HL Mountain Handlebars"/>
        <s v="Mountain-500 Black, 40"/>
        <s v="HL Road Handlebars"/>
        <s v="HL Headset"/>
        <s v="LL Road Rear Wheel"/>
        <s v="ML Bottom Bracket"/>
        <s v="Front Brakes"/>
        <s v="ML Headset"/>
        <s v="Front Derailleur"/>
        <s v="Rear Brakes"/>
        <s v="LL Road Front Wheel"/>
        <s v="HL Road Pedal"/>
        <s v="HL Touring Handlebars"/>
        <s v="Touring Pedal"/>
        <s v="LL Mountain Rear Wheel"/>
        <s v="ML Mountain Handlebars"/>
        <s v="HL Touring Seat/Saddle"/>
        <s v="ML Road Handlebars"/>
        <s v="LL Bottom Bracket"/>
        <s v="LL Mountain Front Wheel"/>
        <s v="HL Mountain Pedal"/>
        <s v="LL Mountain Handlebars"/>
        <s v="LL Road Handlebars"/>
        <s v="LL Touring Handlebars"/>
        <s v="ML Road Seat/Saddle"/>
        <s v="ML Mountain Pedal"/>
        <s v="ML Road Pedal"/>
        <s v="Short-Sleeve Classic Jersey, S"/>
        <s v="LL Headset"/>
        <s v="HL Road Seat/Saddle"/>
        <s v="LL Road Seat/Saddle"/>
        <s v="Women's Tights, S"/>
        <s v="LL Mountain Seat/Saddle"/>
        <s v="Long-Sleeve Logo Jersey, XL"/>
        <s v="LL Touring Seat/Saddle"/>
        <s v="LL Mountain Pedal"/>
        <s v="LL Road Pedal"/>
        <s v="All-Purpose Bike Stand"/>
        <s v="Long-Sleeve Logo Jersey, L"/>
        <s v="HL Mountain Seat/Saddle"/>
        <s v="Women's Mountain Shorts, L"/>
        <s v="ML Mountain Tire"/>
        <s v="ML Mountain Seat/Saddle"/>
        <s v="Men's Sports Shorts, S"/>
        <s v="ML Touring Seat/Saddle"/>
        <s v="Long-Sleeve Logo Jersey, M"/>
        <s v="Women's Mountain Shorts, M"/>
        <s v="HL Mountain Tire"/>
        <s v="HL Road Tire"/>
        <s v="Classic Vest, L"/>
        <s v="LL Mountain Tire"/>
        <s v="Women's Mountain Shorts, S"/>
        <s v="Long-Sleeve Logo Jersey, S"/>
        <s v="ML Road Tire"/>
        <s v="Men's Bib-Shorts, L"/>
        <s v="Chain"/>
        <s v="Touring Tire"/>
        <s v="Classic Vest, M"/>
        <s v="Men's Sports Shorts, XL"/>
        <s v="Classic Vest, S"/>
        <s v="Sport-100 Helmet, Black"/>
        <s v="Men's Bib-Shorts, M"/>
        <s v="Headlights - Weatherproof"/>
        <s v="LL Road Tire"/>
        <s v="Sport-100 Helmet, Red"/>
        <s v="Touring-Panniers, Large"/>
        <s v="Men's Sports Shorts, L"/>
        <s v="Mountain Pump"/>
        <s v="Short-Sleeve Classic Jersey, XL"/>
        <s v="Half-Finger Gloves, S"/>
        <s v="Sport-100 Helmet, Blue"/>
        <s v="Men's Bib-Shorts, S"/>
        <s v="Men's Sports Shorts, M"/>
        <s v="Cable Lock"/>
        <s v="Headlights - Dual-Beam"/>
        <s v="Minipump"/>
        <s v="Full-Finger Gloves, L"/>
        <s v="Hydration Pack - 70 oz."/>
        <s v="AWC Logo Cap"/>
        <s v="Full-Finger Gloves, M"/>
        <s v="Short-Sleeve Classic Jersey, L"/>
        <s v="Full-Finger Gloves, S"/>
        <s v="Women's Tights, L"/>
        <s v="Road Bottle Cage"/>
        <s v="Mountain Bottle Cage"/>
        <s v="Mountain Tire Tube"/>
        <s v="Racing Socks, L"/>
        <s v="Touring Tire Tube"/>
        <s v="Fender Set - Mountain"/>
        <s v="Racing Socks, M"/>
        <s v="Taillights - Battery-Powered"/>
        <s v="Road Tire Tube"/>
        <s v="Mountain Bike Socks, L"/>
        <s v="Mountain Bike Socks, M"/>
        <s v="Water Bottle - 30 oz."/>
        <s v="Half-Finger Gloves, L"/>
        <s v="Patch Kit/8 Patches"/>
        <s v="Bike Wash - Dissolver"/>
      </sharedItems>
    </cacheField>
    <cacheField name="Categoria" numFmtId="0">
      <sharedItems count="4">
        <s v="Components"/>
        <s v="Bikes"/>
        <s v="Clothing"/>
        <s v="Accessories"/>
      </sharedItems>
    </cacheField>
    <cacheField name="EstoqueAtual" numFmtId="0">
      <sharedItems containsSemiMixedTypes="0" containsString="0" containsNumber="1" containsInteger="1" minValue="36" maxValue="989"/>
    </cacheField>
    <cacheField name="StandartCost" numFmtId="0">
      <sharedItems containsSemiMixedTypes="0" containsString="0" containsNumber="1" minValue="0.85650000000000004" maxValue="2171.2941999999998"/>
    </cacheField>
    <cacheField name="ValorEstoque" numFmtId="0">
      <sharedItems containsSemiMixedTypes="0" containsString="0" containsNumber="1" minValue="107.03879999999999" maxValue="616360.19400000002"/>
    </cacheField>
    <cacheField name="Participacao" numFmtId="0">
      <sharedItems containsSemiMixedTypes="0" containsString="0" containsNumber="1" minValue="5.5674463758657062E-6" maxValue="3.2058957390340551E-2"/>
    </cacheField>
    <cacheField name="ParticipacaoAcumulada" numFmtId="0">
      <sharedItems containsSemiMixedTypes="0" containsString="0" containsNumber="1" minValue="3.2058957390340551E-2" maxValue="1.0000000000000002"/>
    </cacheField>
    <cacheField name="ClasseABC" numFmtId="0">
      <sharedItems count="3">
        <s v="A"/>
        <s v="B"/>
        <s v="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Vitor Nascimento dos Santos" refreshedDate="46191.575406365744" createdVersion="8" refreshedVersion="8" minRefreshableVersion="3" recordCount="1069" xr:uid="{AAC87A50-3944-454A-802B-2F1827DC6826}">
  <cacheSource type="worksheet">
    <worksheetSource name="Tabela1"/>
  </cacheSource>
  <cacheFields count="4">
    <cacheField name="ProductID" numFmtId="0">
      <sharedItems containsSemiMixedTypes="0" containsString="0" containsNumber="1" containsInteger="1" minValue="1" maxValue="999"/>
    </cacheField>
    <cacheField name="Produto" numFmtId="0">
      <sharedItems count="432">
        <s v="Adjustable Race"/>
        <s v="Bearing Ball"/>
        <s v="BB Ball Bearing"/>
        <s v="Headset Ball Bearings"/>
        <s v="Blade"/>
        <s v="LL Crankarm"/>
        <s v="ML Crankarm"/>
        <s v="HL Crankarm"/>
        <s v="Chainring Bolts"/>
        <s v="Chainring Nut"/>
        <s v="Chainring"/>
        <s v="Crown Race"/>
        <s v="Chain Stays"/>
        <s v="Decal 1"/>
        <s v="Decal 2"/>
        <s v="Down Tube"/>
        <s v="Mountain End Caps"/>
        <s v="Road End Caps"/>
        <s v="Touring End Caps"/>
        <s v="Fork End"/>
        <s v="Freewheel"/>
        <s v="Flat Washer 1"/>
        <s v="Flat Washer 6"/>
        <s v="Flat Washer 2"/>
        <s v="Flat Washer 9"/>
        <s v="Flat Washer 4"/>
        <s v="Flat Washer 3"/>
        <s v="Flat Washer 8"/>
        <s v="Flat Washer 5"/>
        <s v="Flat Washer 7"/>
        <s v="Fork Crown"/>
        <s v="Front Derailleur Cage"/>
        <s v="Front Derailleur Linkage"/>
        <s v="Guide Pulley"/>
        <s v="LL Grip Tape"/>
        <s v="ML Grip Tape"/>
        <s v="HL Grip Tape"/>
        <s v="Thin-Jam Hex Nut 9"/>
        <s v="Thin-Jam Hex Nut 10"/>
        <s v="Thin-Jam Hex Nut 1"/>
        <s v="Thin-Jam Hex Nut 2"/>
        <s v="Thin-Jam Hex Nut 15"/>
        <s v="Thin-Jam Hex Nut 16"/>
        <s v="Thin-Jam Hex Nut 5"/>
        <s v="Thin-Jam Hex Nut 6"/>
        <s v="Thin-Jam Hex Nut 3"/>
        <s v="Thin-Jam Hex Nut 4"/>
        <s v="Thin-Jam Hex Nut 13"/>
        <s v="Thin-Jam Hex Nut 14"/>
        <s v="Thin-Jam Hex Nut 7"/>
        <s v="Thin-Jam Hex Nut 8"/>
        <s v="Thin-Jam Hex Nut 12"/>
        <s v="Thin-Jam Hex Nut 11"/>
        <s v="Hex Nut 5"/>
        <s v="Hex Nut 6"/>
        <s v="Hex Nut 16"/>
        <s v="Hex Nut 17"/>
        <s v="Hex Nut 7"/>
        <s v="Hex Nut 8"/>
        <s v="Hex Nut 9"/>
        <s v="Hex Nut 22"/>
        <s v="Hex Nut 23"/>
        <s v="Hex Nut 12"/>
        <s v="Hex Nut 13"/>
        <s v="Hex Nut 1"/>
        <s v="Hex Nut 10"/>
        <s v="Hex Nut 11"/>
        <s v="Hex Nut 2"/>
        <s v="Hex Nut 20"/>
        <s v="Hex Nut 21"/>
        <s v="Hex Nut 3"/>
        <s v="Hex Nut 14"/>
        <s v="Hex Nut 15"/>
        <s v="Hex Nut 4"/>
        <s v="Hex Nut 18"/>
        <s v="Hex Nut 19"/>
        <s v="Handlebar Tube"/>
        <s v="Head Tube"/>
        <s v="LL Hub"/>
        <s v="HL Hub"/>
        <s v="Keyed Washer"/>
        <s v="External Lock Washer 3"/>
        <s v="External Lock Washer 4"/>
        <s v="External Lock Washer 9"/>
        <s v="External Lock Washer 5"/>
        <s v="External Lock Washer 7"/>
        <s v="External Lock Washer 6"/>
        <s v="External Lock Washer 1"/>
        <s v="External Lock Washer 8"/>
        <s v="External Lock Washer 2"/>
        <s v="Internal Lock Washer 3"/>
        <s v="Internal Lock Washer 4"/>
        <s v="Internal Lock Washer 9"/>
        <s v="Internal Lock Washer 5"/>
        <s v="Internal Lock Washer 7"/>
        <s v="Internal Lock Washer 6"/>
        <s v="Internal Lock Washer 10"/>
        <s v="Internal Lock Washer 1"/>
        <s v="Internal Lock Washer 8"/>
        <s v="Internal Lock Washer 2"/>
        <s v="Thin-Jam Lock Nut 9"/>
        <s v="Thin-Jam Lock Nut 10"/>
        <s v="Thin-Jam Lock Nut 1"/>
        <s v="Thin-Jam Lock Nut 2"/>
        <s v="Thin-Jam Lock Nut 15"/>
        <s v="Thin-Jam Lock Nut 16"/>
        <s v="Thin-Jam Lock Nut 5"/>
        <s v="Thin-Jam Lock Nut 6"/>
        <s v="Thin-Jam Lock Nut 3"/>
        <s v="Thin-Jam Lock Nut 4"/>
        <s v="Thin-Jam Lock Nut 13"/>
        <s v="Thin-Jam Lock Nut 14"/>
        <s v="Thin-Jam Lock Nut 7"/>
        <s v="Thin-Jam Lock Nut 8"/>
        <s v="Thin-Jam Lock Nut 12"/>
        <s v="Thin-Jam Lock Nut 11"/>
        <s v="Lock Nut 5"/>
        <s v="Lock Nut 6"/>
        <s v="Lock Nut 16"/>
        <s v="Lock Nut 17"/>
        <s v="Lock Nut 7"/>
        <s v="Lock Nut 8"/>
        <s v="Lock Nut 9"/>
        <s v="Lock Nut 22"/>
        <s v="Lock Nut 23"/>
        <s v="Lock Nut 12"/>
        <s v="Lock Nut 13"/>
        <s v="Lock Nut 1"/>
        <s v="Lock Nut 10"/>
        <s v="Lock Nut 11"/>
        <s v="Lock Nut 2"/>
        <s v="Lock Nut 20"/>
        <s v="Lock Nut 21"/>
        <s v="Lock Nut 3"/>
        <s v="Lock Nut 14"/>
        <s v="Lock Nut 15"/>
        <s v="Lock Nut 4"/>
        <s v="Lock Nut 19"/>
        <s v="Lock Nut 18"/>
        <s v="Lock Ring"/>
        <s v="Lower Head Race"/>
        <s v="Lock Washer 4"/>
        <s v="Lock Washer 5"/>
        <s v="Lock Washer 10"/>
        <s v="Lock Washer 6"/>
        <s v="Lock Washer 13"/>
        <s v="Lock Washer 8"/>
        <s v="Lock Washer 1"/>
        <s v="Lock Washer 7"/>
        <s v="Lock Washer 12"/>
        <s v="Lock Washer 2"/>
        <s v="Lock Washer 9"/>
        <s v="Lock Washer 3"/>
        <s v="Lock Washer 11"/>
        <s v="Metal Angle"/>
        <s v="Metal Bar 1"/>
        <s v="Metal Bar 2"/>
        <s v="Metal Plate 2"/>
        <s v="Metal Plate 1"/>
        <s v="Metal Plate 3"/>
        <s v="Metal Sheet 2"/>
        <s v="Metal Sheet 3"/>
        <s v="Metal Sheet 7"/>
        <s v="Metal Sheet 4"/>
        <s v="Metal Sheet 5"/>
        <s v="Metal Sheet 6"/>
        <s v="Metal Sheet 1"/>
        <s v="Metal Tread Plate"/>
        <s v="LL Nipple"/>
        <s v="HL Nipple"/>
        <s v="Paint - Black"/>
        <s v="Paint - Red"/>
        <s v="Paint - Silver"/>
        <s v="Paint - Blue"/>
        <s v="Paint - Yellow"/>
        <s v="Pinch Bolt"/>
        <s v="Cup-Shaped Race"/>
        <s v="Cone-Shaped Race"/>
        <s v="Reflector"/>
        <s v="LL Mountain Rim"/>
        <s v="ML Mountain Rim"/>
        <s v="HL Mountain Rim"/>
        <s v="LL Road Rim"/>
        <s v="ML Road Rim"/>
        <s v="HL Road Rim"/>
        <s v="Touring Rim"/>
        <s v="LL Mountain Seat Assembly"/>
        <s v="ML Mountain Seat Assembly"/>
        <s v="HL Mountain Seat Assembly"/>
        <s v="LL Road Seat Assembly"/>
        <s v="ML Road Seat Assembly"/>
        <s v="HL Road Seat Assembly"/>
        <s v="LL Touring Seat Assembly"/>
        <s v="ML Touring Seat Assembly"/>
        <s v="HL Touring Seat Assembly"/>
        <s v="LL Spindle/Axle"/>
        <s v="HL Spindle/Axle"/>
        <s v="LL Shell"/>
        <s v="HL Shell"/>
        <s v="Spokes"/>
        <s v="Seat Lug"/>
        <s v="Stem"/>
        <s v="Seat Post"/>
        <s v="Steerer"/>
        <s v="Seat Stays"/>
        <s v="Seat Tube"/>
        <s v="Top Tube"/>
        <s v="Tension Pulley"/>
        <s v="Rear Derailleur Cage"/>
        <s v="Sport-100 Helmet, Red"/>
        <s v="Sport-100 Helmet, Black"/>
        <s v="Mountain Bike Socks, M"/>
        <s v="Mountain Bike Socks, L"/>
        <s v="Sport-100 Helmet, Blue"/>
        <s v="AWC Logo Cap"/>
        <s v="Long-Sleeve Logo Jersey, S"/>
        <s v="Long-Sleeve Logo Jersey, M"/>
        <s v="Long-Sleeve Logo Jersey, L"/>
        <s v="Long-Sleeve Logo Jersey, XL"/>
        <s v="HL Mountain Frame - Black, 38"/>
        <s v="HL Mountain Frame - Silver, 38"/>
        <s v="Road-150 Red, 62"/>
        <s v="Road-150 Red, 44"/>
        <s v="Road-150 Red, 48"/>
        <s v="Road-150 Red, 52"/>
        <s v="Road-150 Red, 56"/>
        <s v="Road-450 Red, 58"/>
        <s v="Road-450 Red, 60"/>
        <s v="Road-450 Red, 44"/>
        <s v="Road-450 Red, 48"/>
        <s v="Road-450 Red, 52"/>
        <s v="Road-650 Red, 58"/>
        <s v="Road-650 Red, 60"/>
        <s v="Road-650 Red, 62"/>
        <s v="Road-650 Red, 44"/>
        <s v="Road-650 Red, 48"/>
        <s v="Road-650 Red, 52"/>
        <s v="Road-650 Black, 58"/>
        <s v="Road-650 Black, 60"/>
        <s v="Road-650 Black, 62"/>
        <s v="Road-650 Black, 44"/>
        <s v="Road-650 Black, 48"/>
        <s v="Road-650 Black, 52"/>
        <s v="Mountain-100 Silver, 38"/>
        <s v="Mountain-100 Silver, 42"/>
        <s v="Mountain-100 Silver, 44"/>
        <s v="Mountain-100 Silver, 48"/>
        <s v="Mountain-100 Black, 38"/>
        <s v="Mountain-100 Black, 42"/>
        <s v="Mountain-100 Black, 44"/>
        <s v="Mountain-100 Black, 48"/>
        <s v="Mountain-200 Silver, 38"/>
        <s v="Mountain-200 Silver, 42"/>
        <s v="Mountain-200 Silver, 46"/>
        <s v="Mountain-200 Black, 38"/>
        <s v="Mountain-200 Black, 42"/>
        <s v="Mountain-200 Black, 46"/>
        <s v="Mountain-300 Black, 38"/>
        <s v="Mountain-300 Black, 40"/>
        <s v="Mountain-300 Black, 44"/>
        <s v="Mountain-300 Black, 48"/>
        <s v="Road-250 Red, 44"/>
        <s v="Road-250 Red, 48"/>
        <s v="Road-250 Red, 52"/>
        <s v="Road-250 Red, 58"/>
        <s v="Road-250 Black, 44"/>
        <s v="Road-250 Black, 48"/>
        <s v="Road-250 Black, 52"/>
        <s v="Road-250 Black, 58"/>
        <s v="Road-550-W Yellow, 38"/>
        <s v="Road-550-W Yellow, 40"/>
        <s v="Road-550-W Yellow, 42"/>
        <s v="Road-550-W Yellow, 44"/>
        <s v="Road-550-W Yellow, 48"/>
        <s v="LL Fork"/>
        <s v="ML Fork"/>
        <s v="HL Fork"/>
        <s v="LL Headset"/>
        <s v="ML Headset"/>
        <s v="HL Headset"/>
        <s v="LL Mountain Handlebars"/>
        <s v="ML Mountain Handlebars"/>
        <s v="HL Mountain Handlebars"/>
        <s v="LL Road Handlebars"/>
        <s v="ML Road Handlebars"/>
        <s v="HL Road Handlebars"/>
        <s v="ML Mountain Frame - Black, 38"/>
        <s v="LL Mountain Front Wheel"/>
        <s v="ML Mountain Front Wheel"/>
        <s v="HL Mountain Front Wheel"/>
        <s v="LL Road Front Wheel"/>
        <s v="ML Road Front Wheel"/>
        <s v="HL Road Front Wheel"/>
        <s v="Touring Front Wheel"/>
        <s v="ML Road Frame-W - Yellow, 38"/>
        <s v="LL Mountain Rear Wheel"/>
        <s v="ML Mountain Rear Wheel"/>
        <s v="HL Mountain Rear Wheel"/>
        <s v="LL Road Rear Wheel"/>
        <s v="ML Road Rear Wheel"/>
        <s v="HL Road Rear Wheel"/>
        <s v="Touring Rear Wheel"/>
        <s v="Men's Sports Shorts, S"/>
        <s v="Touring-Panniers, Large"/>
        <s v="Cable Lock"/>
        <s v="Minipump"/>
        <s v="Mountain Pump"/>
        <s v="Taillights - Battery-Powered"/>
        <s v="Headlights - Dual-Beam"/>
        <s v="Headlights - Weatherproof"/>
        <s v="Men's Sports Shorts, M"/>
        <s v="Men's Sports Shorts, L"/>
        <s v="Men's Sports Shorts, XL"/>
        <s v="Women's Tights, S"/>
        <s v="Women's Tights, M"/>
        <s v="Women's Tights, L"/>
        <s v="Men's Bib-Shorts, S"/>
        <s v="Men's Bib-Shorts, M"/>
        <s v="Men's Bib-Shorts, L"/>
        <s v="Half-Finger Gloves, S"/>
        <s v="Half-Finger Gloves, M"/>
        <s v="Half-Finger Gloves, L"/>
        <s v="Full-Finger Gloves, S"/>
        <s v="Full-Finger Gloves, M"/>
        <s v="Full-Finger Gloves, L"/>
        <s v="Classic Vest, S"/>
        <s v="Classic Vest, M"/>
        <s v="Classic Vest, L"/>
        <s v="Women's Mountain Shorts, S"/>
        <s v="Women's Mountain Shorts, M"/>
        <s v="Women's Mountain Shorts, L"/>
        <s v="Water Bottle - 30 oz."/>
        <s v="Mountain Bottle Cage"/>
        <s v="Road Bottle Cage"/>
        <s v="Patch Kit/8 Patches"/>
        <s v="Racing Socks, M"/>
        <s v="Racing Socks, L"/>
        <s v="Hitch Rack - 4-Bike"/>
        <s v="Bike Wash - Dissolver"/>
        <s v="Fender Set - Mountain"/>
        <s v="All-Purpose Bike Stand"/>
        <s v="Hydration Pack - 70 oz."/>
        <s v="Short-Sleeve Classic Jersey, S"/>
        <s v="Short-Sleeve Classic Jersey, M"/>
        <s v="Short-Sleeve Classic Jersey, L"/>
        <s v="Short-Sleeve Classic Jersey, XL"/>
        <s v="Rear Derailleur"/>
        <s v="Rear Brakes"/>
        <s v="LL Mountain Seat/Saddle"/>
        <s v="ML Mountain Seat/Saddle"/>
        <s v="HL Mountain Seat/Saddle"/>
        <s v="LL Road Seat/Saddle"/>
        <s v="ML Road Seat/Saddle"/>
        <s v="HL Road Seat/Saddle"/>
        <s v="LL Touring Seat/Saddle"/>
        <s v="ML Touring Seat/Saddle"/>
        <s v="HL Touring Seat/Saddle"/>
        <s v="Mountain Tire Tube"/>
        <s v="Road Tire Tube"/>
        <s v="Touring Tire Tube"/>
        <s v="LL Mountain Tire"/>
        <s v="ML Mountain Tire"/>
        <s v="HL Mountain Tire"/>
        <s v="LL Road Tire"/>
        <s v="ML Road Tire"/>
        <s v="HL Road Tire"/>
        <s v="Touring Tire"/>
        <s v="LL Mountain Pedal"/>
        <s v="ML Mountain Pedal"/>
        <s v="HL Mountain Pedal"/>
        <s v="LL Road Pedal"/>
        <s v="ML Road Pedal"/>
        <s v="HL Road Pedal"/>
        <s v="Touring Pedal"/>
        <s v="ML Mountain Frame-W - Silver, 38"/>
        <s v="LL Mountain Frame - Black, 40"/>
        <s v="LL Mountain Frame - Silver, 40"/>
        <s v="Front Derailleur"/>
        <s v="LL Touring Handlebars"/>
        <s v="HL Touring Handlebars"/>
        <s v="Front Brakes"/>
        <s v="LL Crankset"/>
        <s v="ML Crankset"/>
        <s v="HL Crankset"/>
        <s v="Chain"/>
        <s v="Touring-2000 Blue, 60"/>
        <s v="Touring-1000 Yellow, 46"/>
        <s v="Touring-1000 Yellow, 50"/>
        <s v="Touring-1000 Yellow, 54"/>
        <s v="Touring-1000 Yellow, 60"/>
        <s v="Touring-3000 Blue, 54"/>
        <s v="Touring-3000 Blue, 58"/>
        <s v="Touring-3000 Blue, 62"/>
        <s v="Touring-3000 Yellow, 44"/>
        <s v="Touring-3000 Yellow, 50"/>
        <s v="Touring-3000 Yellow, 54"/>
        <s v="Touring-3000 Yellow, 58"/>
        <s v="Touring-3000 Yellow, 62"/>
        <s v="Touring-1000 Blue, 46"/>
        <s v="Touring-1000 Blue, 50"/>
        <s v="Touring-1000 Blue, 54"/>
        <s v="Touring-1000 Blue, 60"/>
        <s v="Touring-2000 Blue, 46"/>
        <s v="Touring-2000 Blue, 50"/>
        <s v="Touring-2000 Blue, 54"/>
        <s v="Road-350-W Yellow, 40"/>
        <s v="Road-350-W Yellow, 42"/>
        <s v="Road-350-W Yellow, 44"/>
        <s v="Road-350-W Yellow, 48"/>
        <s v="Road-750 Black, 58"/>
        <s v="Touring-3000 Blue, 44"/>
        <s v="Touring-3000 Blue, 50"/>
        <s v="Mountain-400-W Silver, 38"/>
        <s v="Mountain-400-W Silver, 40"/>
        <s v="Mountain-400-W Silver, 42"/>
        <s v="Mountain-400-W Silver, 46"/>
        <s v="Mountain-500 Silver, 40"/>
        <s v="Mountain-500 Silver, 42"/>
        <s v="Mountain-500 Silver, 44"/>
        <s v="Mountain-500 Silver, 48"/>
        <s v="Mountain-500 Silver, 52"/>
        <s v="Mountain-500 Black, 40"/>
        <s v="Mountain-500 Black, 42"/>
        <s v="Mountain-500 Black, 44"/>
        <s v="Mountain-500 Black, 48"/>
        <s v="Mountain-500 Black, 52"/>
        <s v="LL Bottom Bracket"/>
        <s v="ML Bottom Bracket"/>
        <s v="HL Bottom Bracket"/>
        <s v="Road-750 Black, 44"/>
        <s v="Road-750 Black, 48"/>
        <s v="Road-750 Black, 52"/>
      </sharedItems>
    </cacheField>
    <cacheField name="Localização" numFmtId="0">
      <sharedItems count="14">
        <s v="Miscellaneous Storage"/>
        <s v="Subassembly"/>
        <s v="Tool Crib"/>
        <s v="Frame Forming"/>
        <s v="Metal Storage"/>
        <s v="Final Assembly"/>
        <s v="Frame Welding"/>
        <s v="Sheet Metal Racks"/>
        <s v="Paint"/>
        <s v="Paint Shop"/>
        <s v="Paint Storage"/>
        <s v="Finished Goods Storage"/>
        <s v="Debur and Polish"/>
        <s v="Specialized Paint"/>
      </sharedItems>
    </cacheField>
    <cacheField name="Quantidade Estoque" numFmtId="0">
      <sharedItems containsSemiMixedTypes="0" containsString="0" containsNumber="1" containsInteger="1" minValue="0" maxValue="9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Vitor Nascimento dos Santos" refreshedDate="46191.575878124997" createdVersion="8" refreshedVersion="8" minRefreshableVersion="3" recordCount="16" xr:uid="{FAD55030-3B85-48FA-A8C4-676124F11B42}">
  <cacheSource type="worksheet">
    <worksheetSource ref="A1:E17" sheet="Giro_Categoria"/>
  </cacheSource>
  <cacheFields count="5">
    <cacheField name="Ano" numFmtId="0">
      <sharedItems containsSemiMixedTypes="0" containsString="0" containsNumber="1" containsInteger="1" minValue="2011" maxValue="2014" count="4">
        <n v="2014"/>
        <n v="2013"/>
        <n v="2012"/>
        <n v="2011"/>
      </sharedItems>
    </cacheField>
    <cacheField name="Categoria" numFmtId="0">
      <sharedItems count="4">
        <s v="Accessories"/>
        <s v="Bikes"/>
        <s v="Clothing"/>
        <s v="Components"/>
      </sharedItems>
    </cacheField>
    <cacheField name="QuantidadeVendida" numFmtId="0">
      <sharedItems containsSemiMixedTypes="0" containsString="0" containsNumber="1" containsInteger="1" minValue="1032" maxValue="37748"/>
    </cacheField>
    <cacheField name="EstoqueAtual" numFmtId="0">
      <sharedItems containsSemiMixedTypes="0" containsString="0" containsNumber="1" containsInteger="1" minValue="5940" maxValue="47214"/>
    </cacheField>
    <cacheField name="GiroEstoque" numFmtId="0">
      <sharedItems containsSemiMixedTypes="0" containsString="0" containsNumber="1" minValue="3.4883720930232558E-2" maxValue="6.2592592592592595" count="16">
        <n v="2.519390885188431"/>
        <n v="1.0339212152420185"/>
        <n v="2.5279461279461279"/>
        <n v="0.16060914135637736"/>
        <n v="3.5224583698510079"/>
        <n v="2.4297116374871268"/>
        <n v="0.52329817427034353"/>
        <n v="6.2592592592592595"/>
        <n v="0.62992988606485534"/>
        <n v="3.2370370370370369"/>
        <n v="0.31996865336552716"/>
        <n v="1.8340628218331616"/>
        <n v="3.4883720930232558E-2"/>
        <n v="0.11305872042068361"/>
        <n v="0.37811447811447813"/>
        <n v="0.51255149330587024"/>
      </sharedItems>
    </cacheField>
  </cacheFields>
  <extLst>
    <ext xmlns:x14="http://schemas.microsoft.com/office/spreadsheetml/2009/9/main" uri="{725AE2AE-9491-48be-B2B4-4EB974FC3084}">
      <x14:pivotCacheDefinition pivotCacheId="766315956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Vitor Nascimento dos Santos" refreshedDate="46191.58011678241" createdVersion="8" refreshedVersion="8" minRefreshableVersion="3" recordCount="8" xr:uid="{EEB71BA6-7C73-4B4F-8631-4FF5B5DFDD19}">
  <cacheSource type="worksheet">
    <worksheetSource ref="A1:F9" sheet="Producao_Demanda"/>
  </cacheSource>
  <cacheFields count="6">
    <cacheField name="Ano" numFmtId="0">
      <sharedItems containsSemiMixedTypes="0" containsString="0" containsNumber="1" containsInteger="1" minValue="2011" maxValue="2014" count="4">
        <n v="2011"/>
        <n v="2012"/>
        <n v="2013"/>
        <n v="2014"/>
      </sharedItems>
    </cacheField>
    <cacheField name="Categoria" numFmtId="0">
      <sharedItems count="2">
        <s v="Bikes"/>
        <s v="Components"/>
      </sharedItems>
    </cacheField>
    <cacheField name="QuantidadeProduzida" numFmtId="0">
      <sharedItems containsSemiMixedTypes="0" containsString="0" containsNumber="1" containsInteger="1" minValue="7942" maxValue="408679" count="8">
        <n v="7942"/>
        <n v="82714"/>
        <n v="25847"/>
        <n v="281107"/>
        <n v="37707"/>
        <n v="408679"/>
        <n v="18772"/>
        <n v="198438"/>
      </sharedItems>
    </cacheField>
    <cacheField name="QuantidadeVendida" numFmtId="0">
      <sharedItems containsSemiMixedTypes="0" containsString="0" containsNumber="1" containsInteger="1" minValue="1647" maxValue="37748" count="8">
        <n v="7963"/>
        <n v="1647"/>
        <n v="28494"/>
        <n v="15107"/>
        <n v="37748"/>
        <n v="24707"/>
        <n v="16063"/>
        <n v="7583"/>
      </sharedItems>
    </cacheField>
    <cacheField name="Saldo" numFmtId="0">
      <sharedItems containsSemiMixedTypes="0" containsString="0" containsNumber="1" containsInteger="1" minValue="-2647" maxValue="383972"/>
    </cacheField>
    <cacheField name="PercentualAtendimento" numFmtId="0">
      <sharedItems containsSemiMixedTypes="0" containsString="0" containsNumber="1" minValue="0.90710324980697687" maxValue="50.221007893139038"/>
    </cacheField>
  </cacheFields>
  <extLst>
    <ext xmlns:x14="http://schemas.microsoft.com/office/spreadsheetml/2009/9/main" uri="{725AE2AE-9491-48be-B2B4-4EB974FC3084}">
      <x14:pivotCacheDefinition pivotCacheId="1004437838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Vitor Nascimento dos Santos" refreshedDate="46191.581372106484" createdVersion="8" refreshedVersion="8" minRefreshableVersion="3" recordCount="432" xr:uid="{5CA33DFC-5188-49EB-8C0D-FB6C561567B4}">
  <cacheSource type="worksheet">
    <worksheetSource name="Tabela16"/>
  </cacheSource>
  <cacheFields count="5">
    <cacheField name="ProductID" numFmtId="0">
      <sharedItems containsSemiMixedTypes="0" containsString="0" containsNumber="1" containsInteger="1" minValue="1" maxValue="999"/>
    </cacheField>
    <cacheField name="Produto" numFmtId="0">
      <sharedItems count="432">
        <s v="Adjustable Race"/>
        <s v="Bearing Ball"/>
        <s v="BB Ball Bearing"/>
        <s v="Headset Ball Bearings"/>
        <s v="Blade"/>
        <s v="LL Crankarm"/>
        <s v="ML Crankarm"/>
        <s v="HL Crankarm"/>
        <s v="Chainring Bolts"/>
        <s v="Chainring Nut"/>
        <s v="Chainring"/>
        <s v="Crown Race"/>
        <s v="Chain Stays"/>
        <s v="Decal 1"/>
        <s v="Decal 2"/>
        <s v="Down Tube"/>
        <s v="Mountain End Caps"/>
        <s v="Road End Caps"/>
        <s v="Touring End Caps"/>
        <s v="Fork End"/>
        <s v="Freewheel"/>
        <s v="Flat Washer 1"/>
        <s v="Flat Washer 6"/>
        <s v="Flat Washer 2"/>
        <s v="Flat Washer 9"/>
        <s v="Flat Washer 4"/>
        <s v="Flat Washer 3"/>
        <s v="Flat Washer 8"/>
        <s v="Flat Washer 5"/>
        <s v="Flat Washer 7"/>
        <s v="Fork Crown"/>
        <s v="Front Derailleur Cage"/>
        <s v="Front Derailleur Linkage"/>
        <s v="Guide Pulley"/>
        <s v="LL Grip Tape"/>
        <s v="ML Grip Tape"/>
        <s v="HL Grip Tape"/>
        <s v="Thin-Jam Hex Nut 9"/>
        <s v="Thin-Jam Hex Nut 10"/>
        <s v="Thin-Jam Hex Nut 1"/>
        <s v="Thin-Jam Hex Nut 2"/>
        <s v="Thin-Jam Hex Nut 15"/>
        <s v="Thin-Jam Hex Nut 16"/>
        <s v="Thin-Jam Hex Nut 5"/>
        <s v="Thin-Jam Hex Nut 6"/>
        <s v="Thin-Jam Hex Nut 3"/>
        <s v="Thin-Jam Hex Nut 4"/>
        <s v="Thin-Jam Hex Nut 13"/>
        <s v="Thin-Jam Hex Nut 14"/>
        <s v="Thin-Jam Hex Nut 7"/>
        <s v="Thin-Jam Hex Nut 8"/>
        <s v="Thin-Jam Hex Nut 12"/>
        <s v="Thin-Jam Hex Nut 11"/>
        <s v="Hex Nut 5"/>
        <s v="Hex Nut 6"/>
        <s v="Hex Nut 16"/>
        <s v="Hex Nut 17"/>
        <s v="Hex Nut 7"/>
        <s v="Hex Nut 8"/>
        <s v="Hex Nut 9"/>
        <s v="Hex Nut 22"/>
        <s v="Hex Nut 23"/>
        <s v="Hex Nut 12"/>
        <s v="Hex Nut 13"/>
        <s v="Hex Nut 1"/>
        <s v="Hex Nut 10"/>
        <s v="Hex Nut 11"/>
        <s v="Hex Nut 2"/>
        <s v="Hex Nut 20"/>
        <s v="Hex Nut 21"/>
        <s v="Hex Nut 3"/>
        <s v="Hex Nut 14"/>
        <s v="Hex Nut 15"/>
        <s v="Hex Nut 4"/>
        <s v="Hex Nut 18"/>
        <s v="Hex Nut 19"/>
        <s v="Handlebar Tube"/>
        <s v="Head Tube"/>
        <s v="LL Hub"/>
        <s v="HL Hub"/>
        <s v="Keyed Washer"/>
        <s v="External Lock Washer 3"/>
        <s v="External Lock Washer 4"/>
        <s v="External Lock Washer 9"/>
        <s v="External Lock Washer 5"/>
        <s v="External Lock Washer 7"/>
        <s v="External Lock Washer 6"/>
        <s v="External Lock Washer 1"/>
        <s v="External Lock Washer 8"/>
        <s v="External Lock Washer 2"/>
        <s v="Internal Lock Washer 3"/>
        <s v="Internal Lock Washer 4"/>
        <s v="Internal Lock Washer 9"/>
        <s v="Internal Lock Washer 5"/>
        <s v="Internal Lock Washer 7"/>
        <s v="Internal Lock Washer 6"/>
        <s v="Internal Lock Washer 10"/>
        <s v="Internal Lock Washer 1"/>
        <s v="Internal Lock Washer 8"/>
        <s v="Internal Lock Washer 2"/>
        <s v="Thin-Jam Lock Nut 9"/>
        <s v="Thin-Jam Lock Nut 10"/>
        <s v="Thin-Jam Lock Nut 1"/>
        <s v="Thin-Jam Lock Nut 2"/>
        <s v="Thin-Jam Lock Nut 15"/>
        <s v="Thin-Jam Lock Nut 16"/>
        <s v="Thin-Jam Lock Nut 5"/>
        <s v="Thin-Jam Lock Nut 6"/>
        <s v="Thin-Jam Lock Nut 3"/>
        <s v="Thin-Jam Lock Nut 4"/>
        <s v="Thin-Jam Lock Nut 13"/>
        <s v="Thin-Jam Lock Nut 14"/>
        <s v="Thin-Jam Lock Nut 7"/>
        <s v="Thin-Jam Lock Nut 8"/>
        <s v="Thin-Jam Lock Nut 12"/>
        <s v="Thin-Jam Lock Nut 11"/>
        <s v="Lock Nut 5"/>
        <s v="Lock Nut 6"/>
        <s v="Lock Nut 16"/>
        <s v="Lock Nut 17"/>
        <s v="Lock Nut 7"/>
        <s v="Lock Nut 8"/>
        <s v="Lock Nut 9"/>
        <s v="Lock Nut 22"/>
        <s v="Lock Nut 23"/>
        <s v="Lock Nut 12"/>
        <s v="Lock Nut 13"/>
        <s v="Lock Nut 1"/>
        <s v="Lock Nut 10"/>
        <s v="Lock Nut 11"/>
        <s v="Lock Nut 2"/>
        <s v="Lock Nut 20"/>
        <s v="Lock Nut 21"/>
        <s v="Lock Nut 3"/>
        <s v="Lock Nut 14"/>
        <s v="Lock Nut 15"/>
        <s v="Lock Nut 4"/>
        <s v="Lock Nut 19"/>
        <s v="Lock Nut 18"/>
        <s v="Lock Ring"/>
        <s v="Lower Head Race"/>
        <s v="Lock Washer 4"/>
        <s v="Lock Washer 5"/>
        <s v="Lock Washer 10"/>
        <s v="Lock Washer 6"/>
        <s v="Lock Washer 13"/>
        <s v="Lock Washer 8"/>
        <s v="Lock Washer 1"/>
        <s v="Lock Washer 7"/>
        <s v="Lock Washer 12"/>
        <s v="Lock Washer 2"/>
        <s v="Lock Washer 9"/>
        <s v="Lock Washer 3"/>
        <s v="Lock Washer 11"/>
        <s v="Metal Angle"/>
        <s v="Metal Bar 1"/>
        <s v="Metal Bar 2"/>
        <s v="Metal Plate 2"/>
        <s v="Metal Plate 1"/>
        <s v="Metal Plate 3"/>
        <s v="Metal Sheet 2"/>
        <s v="Metal Sheet 3"/>
        <s v="Metal Sheet 7"/>
        <s v="Metal Sheet 4"/>
        <s v="Metal Sheet 5"/>
        <s v="Metal Sheet 6"/>
        <s v="Metal Sheet 1"/>
        <s v="Metal Tread Plate"/>
        <s v="LL Nipple"/>
        <s v="HL Nipple"/>
        <s v="Paint - Black"/>
        <s v="Paint - Red"/>
        <s v="Paint - Silver"/>
        <s v="Paint - Blue"/>
        <s v="Paint - Yellow"/>
        <s v="Pinch Bolt"/>
        <s v="Cup-Shaped Race"/>
        <s v="Cone-Shaped Race"/>
        <s v="Reflector"/>
        <s v="LL Mountain Rim"/>
        <s v="ML Mountain Rim"/>
        <s v="HL Mountain Rim"/>
        <s v="LL Road Rim"/>
        <s v="ML Road Rim"/>
        <s v="HL Road Rim"/>
        <s v="Touring Rim"/>
        <s v="LL Mountain Seat Assembly"/>
        <s v="ML Mountain Seat Assembly"/>
        <s v="HL Mountain Seat Assembly"/>
        <s v="LL Road Seat Assembly"/>
        <s v="ML Road Seat Assembly"/>
        <s v="HL Road Seat Assembly"/>
        <s v="LL Touring Seat Assembly"/>
        <s v="ML Touring Seat Assembly"/>
        <s v="HL Touring Seat Assembly"/>
        <s v="LL Spindle/Axle"/>
        <s v="HL Spindle/Axle"/>
        <s v="LL Shell"/>
        <s v="HL Shell"/>
        <s v="Spokes"/>
        <s v="Seat Lug"/>
        <s v="Stem"/>
        <s v="Seat Post"/>
        <s v="Steerer"/>
        <s v="Seat Stays"/>
        <s v="Seat Tube"/>
        <s v="Top Tube"/>
        <s v="Tension Pulley"/>
        <s v="Rear Derailleur Cage"/>
        <s v="Sport-100 Helmet, Red"/>
        <s v="Sport-100 Helmet, Black"/>
        <s v="Mountain Bike Socks, M"/>
        <s v="Mountain Bike Socks, L"/>
        <s v="Sport-100 Helmet, Blue"/>
        <s v="AWC Logo Cap"/>
        <s v="Long-Sleeve Logo Jersey, S"/>
        <s v="Long-Sleeve Logo Jersey, M"/>
        <s v="Long-Sleeve Logo Jersey, L"/>
        <s v="Long-Sleeve Logo Jersey, XL"/>
        <s v="HL Mountain Frame - Black, 38"/>
        <s v="HL Mountain Frame - Silver, 38"/>
        <s v="Road-150 Red, 62"/>
        <s v="Road-150 Red, 44"/>
        <s v="Road-150 Red, 48"/>
        <s v="Road-150 Red, 52"/>
        <s v="Road-150 Red, 56"/>
        <s v="Road-450 Red, 58"/>
        <s v="Road-450 Red, 60"/>
        <s v="Road-450 Red, 44"/>
        <s v="Road-450 Red, 48"/>
        <s v="Road-450 Red, 52"/>
        <s v="Road-650 Red, 58"/>
        <s v="Road-650 Red, 60"/>
        <s v="Road-650 Red, 62"/>
        <s v="Road-650 Red, 44"/>
        <s v="Road-650 Red, 48"/>
        <s v="Road-650 Red, 52"/>
        <s v="Road-650 Black, 58"/>
        <s v="Road-650 Black, 60"/>
        <s v="Road-650 Black, 62"/>
        <s v="Road-650 Black, 44"/>
        <s v="Road-650 Black, 48"/>
        <s v="Road-650 Black, 52"/>
        <s v="Mountain-100 Silver, 38"/>
        <s v="Mountain-100 Silver, 42"/>
        <s v="Mountain-100 Silver, 44"/>
        <s v="Mountain-100 Silver, 48"/>
        <s v="Mountain-100 Black, 38"/>
        <s v="Mountain-100 Black, 42"/>
        <s v="Mountain-100 Black, 44"/>
        <s v="Mountain-100 Black, 48"/>
        <s v="Mountain-200 Silver, 38"/>
        <s v="Mountain-200 Silver, 42"/>
        <s v="Mountain-200 Silver, 46"/>
        <s v="Mountain-200 Black, 38"/>
        <s v="Mountain-200 Black, 42"/>
        <s v="Mountain-200 Black, 46"/>
        <s v="Mountain-300 Black, 38"/>
        <s v="Mountain-300 Black, 40"/>
        <s v="Mountain-300 Black, 44"/>
        <s v="Mountain-300 Black, 48"/>
        <s v="Road-250 Red, 44"/>
        <s v="Road-250 Red, 48"/>
        <s v="Road-250 Red, 52"/>
        <s v="Road-250 Red, 58"/>
        <s v="Road-250 Black, 44"/>
        <s v="Road-250 Black, 48"/>
        <s v="Road-250 Black, 52"/>
        <s v="Road-250 Black, 58"/>
        <s v="Road-550-W Yellow, 38"/>
        <s v="Road-550-W Yellow, 40"/>
        <s v="Road-550-W Yellow, 42"/>
        <s v="Road-550-W Yellow, 44"/>
        <s v="Road-550-W Yellow, 48"/>
        <s v="LL Fork"/>
        <s v="ML Fork"/>
        <s v="HL Fork"/>
        <s v="LL Headset"/>
        <s v="ML Headset"/>
        <s v="HL Headset"/>
        <s v="LL Mountain Handlebars"/>
        <s v="ML Mountain Handlebars"/>
        <s v="HL Mountain Handlebars"/>
        <s v="LL Road Handlebars"/>
        <s v="ML Road Handlebars"/>
        <s v="HL Road Handlebars"/>
        <s v="ML Mountain Frame - Black, 38"/>
        <s v="LL Mountain Front Wheel"/>
        <s v="ML Mountain Front Wheel"/>
        <s v="HL Mountain Front Wheel"/>
        <s v="LL Road Front Wheel"/>
        <s v="ML Road Front Wheel"/>
        <s v="HL Road Front Wheel"/>
        <s v="Touring Front Wheel"/>
        <s v="ML Road Frame-W - Yellow, 38"/>
        <s v="LL Mountain Rear Wheel"/>
        <s v="ML Mountain Rear Wheel"/>
        <s v="HL Mountain Rear Wheel"/>
        <s v="LL Road Rear Wheel"/>
        <s v="ML Road Rear Wheel"/>
        <s v="HL Road Rear Wheel"/>
        <s v="Touring Rear Wheel"/>
        <s v="Men's Sports Shorts, S"/>
        <s v="Touring-Panniers, Large"/>
        <s v="Cable Lock"/>
        <s v="Minipump"/>
        <s v="Mountain Pump"/>
        <s v="Taillights - Battery-Powered"/>
        <s v="Headlights - Dual-Beam"/>
        <s v="Headlights - Weatherproof"/>
        <s v="Men's Sports Shorts, M"/>
        <s v="Men's Sports Shorts, L"/>
        <s v="Men's Sports Shorts, XL"/>
        <s v="Women's Tights, S"/>
        <s v="Women's Tights, M"/>
        <s v="Women's Tights, L"/>
        <s v="Men's Bib-Shorts, S"/>
        <s v="Men's Bib-Shorts, M"/>
        <s v="Men's Bib-Shorts, L"/>
        <s v="Half-Finger Gloves, S"/>
        <s v="Half-Finger Gloves, M"/>
        <s v="Half-Finger Gloves, L"/>
        <s v="Full-Finger Gloves, S"/>
        <s v="Full-Finger Gloves, M"/>
        <s v="Full-Finger Gloves, L"/>
        <s v="Classic Vest, S"/>
        <s v="Classic Vest, M"/>
        <s v="Classic Vest, L"/>
        <s v="Women's Mountain Shorts, S"/>
        <s v="Women's Mountain Shorts, M"/>
        <s v="Women's Mountain Shorts, L"/>
        <s v="Water Bottle - 30 oz."/>
        <s v="Mountain Bottle Cage"/>
        <s v="Road Bottle Cage"/>
        <s v="Patch Kit/8 Patches"/>
        <s v="Racing Socks, M"/>
        <s v="Racing Socks, L"/>
        <s v="Hitch Rack - 4-Bike"/>
        <s v="Bike Wash - Dissolver"/>
        <s v="Fender Set - Mountain"/>
        <s v="All-Purpose Bike Stand"/>
        <s v="Hydration Pack - 70 oz."/>
        <s v="Short-Sleeve Classic Jersey, S"/>
        <s v="Short-Sleeve Classic Jersey, M"/>
        <s v="Short-Sleeve Classic Jersey, L"/>
        <s v="Short-Sleeve Classic Jersey, XL"/>
        <s v="Rear Derailleur"/>
        <s v="Rear Brakes"/>
        <s v="LL Mountain Seat/Saddle"/>
        <s v="ML Mountain Seat/Saddle"/>
        <s v="HL Mountain Seat/Saddle"/>
        <s v="LL Road Seat/Saddle"/>
        <s v="ML Road Seat/Saddle"/>
        <s v="HL Road Seat/Saddle"/>
        <s v="LL Touring Seat/Saddle"/>
        <s v="ML Touring Seat/Saddle"/>
        <s v="HL Touring Seat/Saddle"/>
        <s v="Mountain Tire Tube"/>
        <s v="Road Tire Tube"/>
        <s v="Touring Tire Tube"/>
        <s v="LL Mountain Tire"/>
        <s v="ML Mountain Tire"/>
        <s v="HL Mountain Tire"/>
        <s v="LL Road Tire"/>
        <s v="ML Road Tire"/>
        <s v="HL Road Tire"/>
        <s v="Touring Tire"/>
        <s v="LL Mountain Pedal"/>
        <s v="ML Mountain Pedal"/>
        <s v="HL Mountain Pedal"/>
        <s v="LL Road Pedal"/>
        <s v="ML Road Pedal"/>
        <s v="HL Road Pedal"/>
        <s v="Touring Pedal"/>
        <s v="ML Mountain Frame-W - Silver, 38"/>
        <s v="LL Mountain Frame - Black, 40"/>
        <s v="LL Mountain Frame - Silver, 40"/>
        <s v="Front Derailleur"/>
        <s v="LL Touring Handlebars"/>
        <s v="HL Touring Handlebars"/>
        <s v="Front Brakes"/>
        <s v="LL Crankset"/>
        <s v="ML Crankset"/>
        <s v="HL Crankset"/>
        <s v="Chain"/>
        <s v="Touring-2000 Blue, 60"/>
        <s v="Touring-1000 Yellow, 46"/>
        <s v="Touring-1000 Yellow, 50"/>
        <s v="Touring-1000 Yellow, 54"/>
        <s v="Touring-1000 Yellow, 60"/>
        <s v="Touring-3000 Blue, 54"/>
        <s v="Touring-3000 Blue, 58"/>
        <s v="Touring-3000 Blue, 62"/>
        <s v="Touring-3000 Yellow, 44"/>
        <s v="Touring-3000 Yellow, 50"/>
        <s v="Touring-3000 Yellow, 54"/>
        <s v="Touring-3000 Yellow, 58"/>
        <s v="Touring-3000 Yellow, 62"/>
        <s v="Touring-1000 Blue, 46"/>
        <s v="Touring-1000 Blue, 50"/>
        <s v="Touring-1000 Blue, 54"/>
        <s v="Touring-1000 Blue, 60"/>
        <s v="Touring-2000 Blue, 46"/>
        <s v="Touring-2000 Blue, 50"/>
        <s v="Touring-2000 Blue, 54"/>
        <s v="Road-350-W Yellow, 40"/>
        <s v="Road-350-W Yellow, 42"/>
        <s v="Road-350-W Yellow, 44"/>
        <s v="Road-350-W Yellow, 48"/>
        <s v="Road-750 Black, 58"/>
        <s v="Touring-3000 Blue, 44"/>
        <s v="Touring-3000 Blue, 50"/>
        <s v="Mountain-400-W Silver, 38"/>
        <s v="Mountain-400-W Silver, 40"/>
        <s v="Mountain-400-W Silver, 42"/>
        <s v="Mountain-400-W Silver, 46"/>
        <s v="Mountain-500 Silver, 40"/>
        <s v="Mountain-500 Silver, 42"/>
        <s v="Mountain-500 Silver, 44"/>
        <s v="Mountain-500 Silver, 48"/>
        <s v="Mountain-500 Silver, 52"/>
        <s v="Mountain-500 Black, 40"/>
        <s v="Mountain-500 Black, 42"/>
        <s v="Mountain-500 Black, 44"/>
        <s v="Mountain-500 Black, 48"/>
        <s v="Mountain-500 Black, 52"/>
        <s v="LL Bottom Bracket"/>
        <s v="ML Bottom Bracket"/>
        <s v="HL Bottom Bracket"/>
        <s v="Road-750 Black, 44"/>
        <s v="Road-750 Black, 48"/>
        <s v="Road-750 Black, 52"/>
      </sharedItems>
    </cacheField>
    <cacheField name="EstoqueAtual" numFmtId="0">
      <sharedItems containsSemiMixedTypes="0" containsString="0" containsNumber="1" containsInteger="1" minValue="0" maxValue="1911"/>
    </cacheField>
    <cacheField name="ReorderPoint" numFmtId="0">
      <sharedItems containsSemiMixedTypes="0" containsString="0" containsNumber="1" containsInteger="1" minValue="3" maxValue="750"/>
    </cacheField>
    <cacheField name="Situacao" numFmtId="0">
      <sharedItems count="2">
        <s v="OK"/>
        <s v="Repor"/>
      </sharedItems>
    </cacheField>
  </cacheFields>
  <extLst>
    <ext xmlns:x14="http://schemas.microsoft.com/office/spreadsheetml/2009/9/main" uri="{725AE2AE-9491-48be-B2B4-4EB974FC3084}">
      <x14:pivotCacheDefinition pivotCacheId="20332621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n v="747"/>
    <x v="0"/>
    <x v="0"/>
    <n v="834"/>
    <n v="739.04100000000005"/>
    <n v="616360.19400000002"/>
    <n v="3.2058957390340551E-2"/>
    <n v="3.2058957390340551E-2"/>
    <x v="0"/>
  </r>
  <r>
    <n v="748"/>
    <x v="1"/>
    <x v="0"/>
    <n v="738"/>
    <n v="747.2002"/>
    <n v="551433.7476"/>
    <n v="2.8681915526011733E-2"/>
    <n v="6.0740872916352287E-2"/>
    <x v="0"/>
  </r>
  <r>
    <n v="750"/>
    <x v="2"/>
    <x v="1"/>
    <n v="223"/>
    <n v="2171.2941999999998"/>
    <n v="484198.6066"/>
    <n v="2.5184790725553678E-2"/>
    <n v="8.5925663641905958E-2"/>
    <x v="0"/>
  </r>
  <r>
    <n v="776"/>
    <x v="3"/>
    <x v="1"/>
    <n v="194"/>
    <n v="1898.0944"/>
    <n v="368230.31359999999"/>
    <n v="1.9152891520983161E-2"/>
    <n v="0.10507855516288912"/>
    <x v="0"/>
  </r>
  <r>
    <n v="753"/>
    <x v="4"/>
    <x v="1"/>
    <n v="163"/>
    <n v="2171.2941999999998"/>
    <n v="353920.9546"/>
    <n v="1.8408613848723093E-2"/>
    <n v="0.12348716901161222"/>
    <x v="0"/>
  </r>
  <r>
    <n v="792"/>
    <x v="5"/>
    <x v="1"/>
    <n v="227"/>
    <n v="1554.9478999999999"/>
    <n v="352973.17330000002"/>
    <n v="1.8359316569943825E-2"/>
    <n v="0.14184648558155605"/>
    <x v="0"/>
  </r>
  <r>
    <n v="774"/>
    <x v="6"/>
    <x v="1"/>
    <n v="164"/>
    <n v="1912.1543999999999"/>
    <n v="313593.32160000002"/>
    <n v="1.6311038631202975E-2"/>
    <n v="0.15815752421275903"/>
    <x v="0"/>
  </r>
  <r>
    <n v="751"/>
    <x v="7"/>
    <x v="1"/>
    <n v="140"/>
    <n v="2171.2941999999998"/>
    <n v="303981.18800000002"/>
    <n v="1.5811079379271367E-2"/>
    <n v="0.1739686035920304"/>
    <x v="0"/>
  </r>
  <r>
    <n v="773"/>
    <x v="8"/>
    <x v="1"/>
    <n v="158"/>
    <n v="1912.1543999999999"/>
    <n v="302120.39520000003"/>
    <n v="1.5714293315427258E-2"/>
    <n v="0.18968289690745765"/>
    <x v="0"/>
  </r>
  <r>
    <n v="775"/>
    <x v="9"/>
    <x v="1"/>
    <n v="155"/>
    <n v="1898.0944"/>
    <n v="294204.63199999998"/>
    <n v="1.5302567967795826E-2"/>
    <n v="0.20498546487525349"/>
    <x v="0"/>
  </r>
  <r>
    <n v="772"/>
    <x v="10"/>
    <x v="1"/>
    <n v="153"/>
    <n v="1912.1543999999999"/>
    <n v="292559.62319999997"/>
    <n v="1.5217005552280822E-2"/>
    <n v="0.2202024704275343"/>
    <x v="0"/>
  </r>
  <r>
    <n v="795"/>
    <x v="11"/>
    <x v="1"/>
    <n v="188"/>
    <n v="1554.9478999999999"/>
    <n v="292330.20520000003"/>
    <n v="1.5205072753962287E-2"/>
    <n v="0.23540754318149659"/>
    <x v="0"/>
  </r>
  <r>
    <n v="778"/>
    <x v="12"/>
    <x v="1"/>
    <n v="153"/>
    <n v="1898.0944"/>
    <n v="290408.44319999998"/>
    <n v="1.5105115477888781E-2"/>
    <n v="0.25051265865938538"/>
    <x v="0"/>
  </r>
  <r>
    <n v="749"/>
    <x v="13"/>
    <x v="1"/>
    <n v="133"/>
    <n v="2171.2941999999998"/>
    <n v="288782.1286"/>
    <n v="1.5020525410307798E-2"/>
    <n v="0.26553318406969317"/>
    <x v="0"/>
  </r>
  <r>
    <n v="822"/>
    <x v="14"/>
    <x v="0"/>
    <n v="796"/>
    <n v="360.94279999999998"/>
    <n v="287310.46879999997"/>
    <n v="1.4943979456690817E-2"/>
    <n v="0.28047716352638397"/>
    <x v="0"/>
  </r>
  <r>
    <n v="771"/>
    <x v="15"/>
    <x v="1"/>
    <n v="149"/>
    <n v="1912.1543999999999"/>
    <n v="284911.00559999997"/>
    <n v="1.4819175341763677E-2"/>
    <n v="0.29529633886814766"/>
    <x v="0"/>
  </r>
  <r>
    <n v="777"/>
    <x v="16"/>
    <x v="1"/>
    <n v="149"/>
    <n v="1898.0944"/>
    <n v="282816.06559999997"/>
    <n v="1.4710210498074696E-2"/>
    <n v="0.31000654936622235"/>
    <x v="0"/>
  </r>
  <r>
    <n v="780"/>
    <x v="17"/>
    <x v="1"/>
    <n v="223"/>
    <n v="1265.6195"/>
    <n v="282233.14850000001"/>
    <n v="1.4679891027977638E-2"/>
    <n v="0.32468644039419997"/>
    <x v="0"/>
  </r>
  <r>
    <n v="790"/>
    <x v="18"/>
    <x v="1"/>
    <n v="185"/>
    <n v="1518.7864"/>
    <n v="280975.484"/>
    <n v="1.461447568641383E-2"/>
    <n v="0.3393009160806138"/>
    <x v="0"/>
  </r>
  <r>
    <n v="752"/>
    <x v="19"/>
    <x v="1"/>
    <n v="128"/>
    <n v="2171.2941999999998"/>
    <n v="277925.65759999998"/>
    <n v="1.4455844003905248E-2"/>
    <n v="0.35375676008451906"/>
    <x v="0"/>
  </r>
  <r>
    <n v="966"/>
    <x v="20"/>
    <x v="1"/>
    <n v="185"/>
    <n v="1481.9378999999999"/>
    <n v="274158.51150000002"/>
    <n v="1.4259902122066126E-2"/>
    <n v="0.36801666220658519"/>
    <x v="0"/>
  </r>
  <r>
    <n v="794"/>
    <x v="21"/>
    <x v="1"/>
    <n v="165"/>
    <n v="1554.9478999999999"/>
    <n v="256566.40349999999"/>
    <n v="1.3344877682998814E-2"/>
    <n v="0.38136153988958399"/>
    <x v="0"/>
  </r>
  <r>
    <n v="789"/>
    <x v="22"/>
    <x v="1"/>
    <n v="163"/>
    <n v="1518.7864"/>
    <n v="247562.1832"/>
    <n v="1.2876538037218672E-2"/>
    <n v="0.39423807792680265"/>
    <x v="0"/>
  </r>
  <r>
    <n v="976"/>
    <x v="23"/>
    <x v="1"/>
    <n v="227"/>
    <n v="1082.51"/>
    <n v="245729.77"/>
    <n v="1.2781228091391286E-2"/>
    <n v="0.40701930601819392"/>
    <x v="0"/>
  </r>
  <r>
    <n v="782"/>
    <x v="24"/>
    <x v="1"/>
    <n v="188"/>
    <n v="1251.9812999999999"/>
    <n v="235372.48439999999"/>
    <n v="1.2242510989017883E-2"/>
    <n v="0.41926181700721182"/>
    <x v="0"/>
  </r>
  <r>
    <n v="796"/>
    <x v="25"/>
    <x v="1"/>
    <n v="148"/>
    <n v="1554.9478999999999"/>
    <n v="230132.2892"/>
    <n v="1.1969950891417119E-2"/>
    <n v="0.43123176789862894"/>
    <x v="0"/>
  </r>
  <r>
    <n v="791"/>
    <x v="26"/>
    <x v="1"/>
    <n v="148"/>
    <n v="1518.7864"/>
    <n v="224780.3872"/>
    <n v="1.1691580549131065E-2"/>
    <n v="0.44292334844775999"/>
    <x v="0"/>
  </r>
  <r>
    <n v="957"/>
    <x v="27"/>
    <x v="1"/>
    <n v="151"/>
    <n v="1481.9378999999999"/>
    <n v="223772.62289999999"/>
    <n v="1.1639163353686404E-2"/>
    <n v="0.45456251180144641"/>
    <x v="0"/>
  </r>
  <r>
    <n v="954"/>
    <x v="28"/>
    <x v="1"/>
    <n v="148"/>
    <n v="1481.9378999999999"/>
    <n v="219326.80919999999"/>
    <n v="1.14079216976529E-2"/>
    <n v="0.46597043349909933"/>
    <x v="0"/>
  </r>
  <r>
    <n v="967"/>
    <x v="29"/>
    <x v="1"/>
    <n v="148"/>
    <n v="1481.9378999999999"/>
    <n v="219326.80919999999"/>
    <n v="1.14079216976529E-2"/>
    <n v="0.47737835519675226"/>
    <x v="0"/>
  </r>
  <r>
    <n v="793"/>
    <x v="30"/>
    <x v="1"/>
    <n v="134"/>
    <n v="1554.9478999999999"/>
    <n v="208363.01860000001"/>
    <n v="1.083765823952631E-2"/>
    <n v="0.48821601343627857"/>
    <x v="0"/>
  </r>
  <r>
    <n v="955"/>
    <x v="31"/>
    <x v="1"/>
    <n v="137"/>
    <n v="1481.9378999999999"/>
    <n v="203025.49230000001"/>
    <n v="1.056003562553005E-2"/>
    <n v="0.49877604906180861"/>
    <x v="0"/>
  </r>
  <r>
    <n v="973"/>
    <x v="32"/>
    <x v="1"/>
    <n v="185"/>
    <n v="1082.51"/>
    <n v="200264.35"/>
    <n v="1.041641936963607E-2"/>
    <n v="0.50919246843144472"/>
    <x v="0"/>
  </r>
  <r>
    <n v="968"/>
    <x v="33"/>
    <x v="1"/>
    <n v="133"/>
    <n v="1481.9378999999999"/>
    <n v="197097.74069999999"/>
    <n v="1.0251713417485377E-2"/>
    <n v="0.51944418184893015"/>
    <x v="0"/>
  </r>
  <r>
    <n v="969"/>
    <x v="34"/>
    <x v="1"/>
    <n v="129"/>
    <n v="1481.9378999999999"/>
    <n v="191169.98910000001"/>
    <n v="9.9433912094407037E-3"/>
    <n v="0.52938757305837081"/>
    <x v="0"/>
  </r>
  <r>
    <n v="783"/>
    <x v="35"/>
    <x v="1"/>
    <n v="148"/>
    <n v="1251.9812999999999"/>
    <n v="185293.23240000001"/>
    <n v="9.6377214168864196E-3"/>
    <n v="0.53902529447525727"/>
    <x v="0"/>
  </r>
  <r>
    <n v="781"/>
    <x v="36"/>
    <x v="1"/>
    <n v="140"/>
    <n v="1265.6195"/>
    <n v="177186.73"/>
    <n v="9.2160750848290108E-3"/>
    <n v="0.54824136956008629"/>
    <x v="0"/>
  </r>
  <r>
    <n v="779"/>
    <x v="37"/>
    <x v="1"/>
    <n v="137"/>
    <n v="1265.6195"/>
    <n v="173389.87150000001"/>
    <n v="9.0185877615826752E-3"/>
    <n v="0.557259957321669"/>
    <x v="0"/>
  </r>
  <r>
    <n v="784"/>
    <x v="38"/>
    <x v="1"/>
    <n v="137"/>
    <n v="1251.9812999999999"/>
    <n v="171521.4381"/>
    <n v="8.9214042845502661E-3"/>
    <n v="0.56618136160621924"/>
    <x v="0"/>
  </r>
  <r>
    <n v="971"/>
    <x v="39"/>
    <x v="1"/>
    <n v="227"/>
    <n v="755.1508"/>
    <n v="171419.2316"/>
    <n v="8.9160881822769322E-3"/>
    <n v="0.5750974497884962"/>
    <x v="0"/>
  </r>
  <r>
    <n v="951"/>
    <x v="40"/>
    <x v="0"/>
    <n v="923"/>
    <n v="179.81559999999999"/>
    <n v="165969.79879999999"/>
    <n v="8.6326449365297479E-3"/>
    <n v="0.58373009472502591"/>
    <x v="0"/>
  </r>
  <r>
    <n v="942"/>
    <x v="41"/>
    <x v="0"/>
    <n v="826"/>
    <n v="199.37569999999999"/>
    <n v="164684.32819999999"/>
    <n v="8.5657833066044142E-3"/>
    <n v="0.59229587803163031"/>
    <x v="0"/>
  </r>
  <r>
    <n v="799"/>
    <x v="42"/>
    <x v="1"/>
    <n v="227"/>
    <n v="713.07979999999998"/>
    <n v="161869.1146"/>
    <n v="8.4193546213556271E-3"/>
    <n v="0.60071523265298599"/>
    <x v="0"/>
  </r>
  <r>
    <n v="974"/>
    <x v="43"/>
    <x v="1"/>
    <n v="148"/>
    <n v="1082.51"/>
    <n v="160211.48000000001"/>
    <n v="8.3331354957088561E-3"/>
    <n v="0.6090483681486949"/>
    <x v="0"/>
  </r>
  <r>
    <n v="758"/>
    <x v="44"/>
    <x v="1"/>
    <n v="165"/>
    <n v="884.70830000000001"/>
    <n v="145976.8695"/>
    <n v="7.5927457432071006E-3"/>
    <n v="0.61664111389190202"/>
    <x v="0"/>
  </r>
  <r>
    <n v="975"/>
    <x v="45"/>
    <x v="1"/>
    <n v="133"/>
    <n v="1082.51"/>
    <n v="143973.82999999999"/>
    <n v="7.4885609522248493E-3"/>
    <n v="0.62412967484412685"/>
    <x v="0"/>
  </r>
  <r>
    <n v="814"/>
    <x v="46"/>
    <x v="0"/>
    <n v="767"/>
    <n v="185.8193"/>
    <n v="142523.4031"/>
    <n v="7.4131193928289761E-3"/>
    <n v="0.63154279423695581"/>
    <x v="0"/>
  </r>
  <r>
    <n v="786"/>
    <x v="47"/>
    <x v="1"/>
    <n v="223"/>
    <n v="598.43539999999996"/>
    <n v="133451.09419999999"/>
    <n v="6.94123823098823E-3"/>
    <n v="0.63848403246794405"/>
    <x v="0"/>
  </r>
  <r>
    <n v="754"/>
    <x v="48"/>
    <x v="1"/>
    <n v="148"/>
    <n v="884.70830000000001"/>
    <n v="130936.8284"/>
    <n v="6.8104628484524296E-3"/>
    <n v="0.64529449531639649"/>
    <x v="0"/>
  </r>
  <r>
    <n v="953"/>
    <x v="49"/>
    <x v="1"/>
    <n v="165"/>
    <n v="755.1508"/>
    <n v="124599.882"/>
    <n v="6.4808570487916032E-3"/>
    <n v="0.65177535236518813"/>
    <x v="0"/>
  </r>
  <r>
    <n v="755"/>
    <x v="50"/>
    <x v="1"/>
    <n v="137"/>
    <n v="884.70830000000001"/>
    <n v="121205.0371"/>
    <n v="6.3042797989052895E-3"/>
    <n v="0.65807963216409338"/>
    <x v="0"/>
  </r>
  <r>
    <n v="757"/>
    <x v="51"/>
    <x v="1"/>
    <n v="134"/>
    <n v="884.70830000000001"/>
    <n v="118550.91220000001"/>
    <n v="6.166229876301524E-3"/>
    <n v="0.66424586204039493"/>
    <x v="0"/>
  </r>
  <r>
    <n v="756"/>
    <x v="52"/>
    <x v="1"/>
    <n v="129"/>
    <n v="884.70830000000001"/>
    <n v="114127.3707"/>
    <n v="5.9361466719619147E-3"/>
    <n v="0.67018200871235689"/>
    <x v="0"/>
  </r>
  <r>
    <n v="825"/>
    <x v="53"/>
    <x v="0"/>
    <n v="783"/>
    <n v="145.2835"/>
    <n v="113756.98050000001"/>
    <n v="5.9168814375175254E-3"/>
    <n v="0.67609889014987445"/>
    <x v="0"/>
  </r>
  <r>
    <n v="828"/>
    <x v="54"/>
    <x v="0"/>
    <n v="716"/>
    <n v="158.53460000000001"/>
    <n v="113510.7736"/>
    <n v="5.9040753922973048E-3"/>
    <n v="0.68200296554217177"/>
    <x v="0"/>
  </r>
  <r>
    <n v="956"/>
    <x v="55"/>
    <x v="1"/>
    <n v="75"/>
    <n v="1481.9378999999999"/>
    <n v="111145.3425"/>
    <n v="5.7810414008376181E-3"/>
    <n v="0.68778400694300934"/>
    <x v="0"/>
  </r>
  <r>
    <n v="817"/>
    <x v="56"/>
    <x v="0"/>
    <n v="831"/>
    <n v="133.2955"/>
    <n v="110768.56050000001"/>
    <n v="5.761443707474171E-3"/>
    <n v="0.69354545065048356"/>
    <x v="0"/>
  </r>
  <r>
    <n v="770"/>
    <x v="57"/>
    <x v="1"/>
    <n v="227"/>
    <n v="486.70659999999998"/>
    <n v="110482.3982"/>
    <n v="5.7465594481210724E-3"/>
    <n v="0.69929201009860464"/>
    <x v="0"/>
  </r>
  <r>
    <n v="763"/>
    <x v="58"/>
    <x v="1"/>
    <n v="223"/>
    <n v="486.70659999999998"/>
    <n v="108535.57180000001"/>
    <n v="5.6452984886828156E-3"/>
    <n v="0.70493730858728743"/>
    <x v="0"/>
  </r>
  <r>
    <n v="797"/>
    <x v="59"/>
    <x v="1"/>
    <n v="148"/>
    <n v="713.07979999999998"/>
    <n v="105535.8104"/>
    <n v="5.4892708544521272E-3"/>
    <n v="0.71042657944173959"/>
    <x v="0"/>
  </r>
  <r>
    <n v="950"/>
    <x v="60"/>
    <x v="0"/>
    <n v="905"/>
    <n v="113.88160000000001"/>
    <n v="103062.848"/>
    <n v="5.3606438000425843E-3"/>
    <n v="0.71578722324178212"/>
    <x v="0"/>
  </r>
  <r>
    <n v="827"/>
    <x v="61"/>
    <x v="0"/>
    <n v="837"/>
    <n v="122.2709"/>
    <n v="102340.7433"/>
    <n v="5.3230847168408797E-3"/>
    <n v="0.72111030795862296"/>
    <x v="0"/>
  </r>
  <r>
    <n v="970"/>
    <x v="62"/>
    <x v="1"/>
    <n v="133"/>
    <n v="755.1508"/>
    <n v="100435.0564"/>
    <n v="5.2239635605411108E-3"/>
    <n v="0.72633427151916408"/>
    <x v="0"/>
  </r>
  <r>
    <n v="820"/>
    <x v="63"/>
    <x v="0"/>
    <n v="678"/>
    <n v="146.54660000000001"/>
    <n v="99358.594800000006"/>
    <n v="5.1679731885107948E-3"/>
    <n v="0.73150224470767489"/>
    <x v="0"/>
  </r>
  <r>
    <n v="944"/>
    <x v="64"/>
    <x v="0"/>
    <n v="682"/>
    <n v="144.59379999999999"/>
    <n v="98612.971600000004"/>
    <n v="5.1291908293793261E-3"/>
    <n v="0.73663143553705424"/>
    <x v="0"/>
  </r>
  <r>
    <n v="943"/>
    <x v="65"/>
    <x v="0"/>
    <n v="719"/>
    <n v="136.785"/>
    <n v="98348.414999999994"/>
    <n v="5.1154303548235445E-3"/>
    <n v="0.74174686589187777"/>
    <x v="0"/>
  </r>
  <r>
    <n v="972"/>
    <x v="66"/>
    <x v="1"/>
    <n v="129"/>
    <n v="755.1508"/>
    <n v="97414.453200000004"/>
    <n v="5.0668518745097995E-3"/>
    <n v="0.74681371776638761"/>
    <x v="0"/>
  </r>
  <r>
    <n v="801"/>
    <x v="67"/>
    <x v="1"/>
    <n v="134"/>
    <n v="713.07979999999998"/>
    <n v="95552.693199999994"/>
    <n v="4.970015503355304E-3"/>
    <n v="0.7517837332697429"/>
    <x v="0"/>
  </r>
  <r>
    <n v="798"/>
    <x v="68"/>
    <x v="1"/>
    <n v="133"/>
    <n v="713.07979999999998"/>
    <n v="94839.613400000002"/>
    <n v="4.932925835419817E-3"/>
    <n v="0.75671665910516273"/>
    <x v="0"/>
  </r>
  <r>
    <n v="959"/>
    <x v="69"/>
    <x v="1"/>
    <n v="204"/>
    <n v="461.44479999999999"/>
    <n v="94134.739199999996"/>
    <n v="4.8962629682143622E-3"/>
    <n v="0.76161292207337705"/>
    <x v="0"/>
  </r>
  <r>
    <n v="800"/>
    <x v="70"/>
    <x v="1"/>
    <n v="129"/>
    <n v="713.07979999999998"/>
    <n v="91987.294200000004"/>
    <n v="4.7845671636778673E-3"/>
    <n v="0.76639748923705497"/>
    <x v="0"/>
  </r>
  <r>
    <n v="804"/>
    <x v="71"/>
    <x v="0"/>
    <n v="901"/>
    <n v="101.89360000000001"/>
    <n v="91806.133600000001"/>
    <n v="4.7751443943090067E-3"/>
    <n v="0.77117263363136401"/>
    <x v="0"/>
  </r>
  <r>
    <n v="767"/>
    <x v="72"/>
    <x v="1"/>
    <n v="188"/>
    <n v="486.70659999999998"/>
    <n v="91500.840800000005"/>
    <n v="4.7592650935980689E-3"/>
    <n v="0.77593189872496204"/>
    <x v="0"/>
  </r>
  <r>
    <n v="964"/>
    <x v="73"/>
    <x v="1"/>
    <n v="197"/>
    <n v="461.44479999999999"/>
    <n v="90904.625599999999"/>
    <n v="4.728253944795242E-3"/>
    <n v="0.7806601526697573"/>
    <x v="0"/>
  </r>
  <r>
    <n v="760"/>
    <x v="74"/>
    <x v="1"/>
    <n v="185"/>
    <n v="486.70659999999998"/>
    <n v="90040.721000000005"/>
    <n v="4.6833193740193763E-3"/>
    <n v="0.78534347204377664"/>
    <x v="0"/>
  </r>
  <r>
    <n v="819"/>
    <x v="75"/>
    <x v="0"/>
    <n v="793"/>
    <n v="110.2829"/>
    <n v="87454.339699999997"/>
    <n v="4.5487930228710833E-3"/>
    <n v="0.78989226506664767"/>
    <x v="0"/>
  </r>
  <r>
    <n v="824"/>
    <x v="76"/>
    <x v="0"/>
    <n v="812"/>
    <n v="104.79510000000001"/>
    <n v="85093.621199999994"/>
    <n v="4.4260041495161493E-3"/>
    <n v="0.79431826921616377"/>
    <x v="0"/>
  </r>
  <r>
    <n v="787"/>
    <x v="77"/>
    <x v="1"/>
    <n v="140"/>
    <n v="598.43539999999996"/>
    <n v="83780.956000000006"/>
    <n v="4.3577280373917147E-3"/>
    <n v="0.79867599725355554"/>
    <x v="0"/>
  </r>
  <r>
    <n v="785"/>
    <x v="78"/>
    <x v="1"/>
    <n v="137"/>
    <n v="598.43539999999996"/>
    <n v="81985.649799999999"/>
    <n v="4.2643481508761773E-3"/>
    <n v="0.80294034540443171"/>
    <x v="1"/>
  </r>
  <r>
    <n v="829"/>
    <x v="79"/>
    <x v="0"/>
    <n v="741"/>
    <n v="108.78440000000001"/>
    <n v="80609.240399999995"/>
    <n v="4.1927564894810804E-3"/>
    <n v="0.80713310189391274"/>
    <x v="1"/>
  </r>
  <r>
    <n v="766"/>
    <x v="80"/>
    <x v="1"/>
    <n v="165"/>
    <n v="486.70659999999998"/>
    <n v="80306.589000000007"/>
    <n v="4.1770145768280928E-3"/>
    <n v="0.81131011647074081"/>
    <x v="1"/>
  </r>
  <r>
    <n v="962"/>
    <x v="81"/>
    <x v="1"/>
    <n v="174"/>
    <n v="461.44479999999999"/>
    <n v="80291.395199999999"/>
    <n v="4.1762242964181323E-3"/>
    <n v="0.81548634076715898"/>
    <x v="1"/>
  </r>
  <r>
    <n v="759"/>
    <x v="82"/>
    <x v="1"/>
    <n v="163"/>
    <n v="486.70659999999998"/>
    <n v="79333.175799999997"/>
    <n v="4.1263840971089635E-3"/>
    <n v="0.81961272486426795"/>
    <x v="1"/>
  </r>
  <r>
    <n v="961"/>
    <x v="83"/>
    <x v="1"/>
    <n v="168"/>
    <n v="461.44479999999999"/>
    <n v="77522.7264"/>
    <n v="4.0322165620588863E-3"/>
    <n v="0.82364494142632683"/>
    <x v="1"/>
  </r>
  <r>
    <n v="788"/>
    <x v="84"/>
    <x v="1"/>
    <n v="128"/>
    <n v="598.43539999999996"/>
    <n v="76599.731199999995"/>
    <n v="3.9842084913295668E-3"/>
    <n v="0.82762914991765635"/>
    <x v="1"/>
  </r>
  <r>
    <n v="816"/>
    <x v="85"/>
    <x v="0"/>
    <n v="818"/>
    <n v="92.807100000000005"/>
    <n v="75916.207800000004"/>
    <n v="3.9486561507189721E-3"/>
    <n v="0.83157780606837528"/>
    <x v="1"/>
  </r>
  <r>
    <n v="979"/>
    <x v="86"/>
    <x v="1"/>
    <n v="164"/>
    <n v="461.44479999999999"/>
    <n v="75676.947199999995"/>
    <n v="3.9362114058193887E-3"/>
    <n v="0.83551401747419463"/>
    <x v="1"/>
  </r>
  <r>
    <n v="978"/>
    <x v="87"/>
    <x v="1"/>
    <n v="163"/>
    <n v="461.44479999999999"/>
    <n v="75215.502399999998"/>
    <n v="3.9122101167595145E-3"/>
    <n v="0.83942622759095409"/>
    <x v="1"/>
  </r>
  <r>
    <n v="965"/>
    <x v="88"/>
    <x v="1"/>
    <n v="163"/>
    <n v="461.44479999999999"/>
    <n v="75215.502399999998"/>
    <n v="3.9122101167595145E-3"/>
    <n v="0.84333843770771355"/>
    <x v="1"/>
  </r>
  <r>
    <n v="958"/>
    <x v="89"/>
    <x v="1"/>
    <n v="163"/>
    <n v="461.44479999999999"/>
    <n v="75215.502399999998"/>
    <n v="3.9122101167595145E-3"/>
    <n v="0.84725064782447301"/>
    <x v="1"/>
  </r>
  <r>
    <n v="963"/>
    <x v="90"/>
    <x v="1"/>
    <n v="162"/>
    <n v="461.44479999999999"/>
    <n v="74754.0576"/>
    <n v="3.8882088276996404E-3"/>
    <n v="0.8511388566521727"/>
    <x v="1"/>
  </r>
  <r>
    <n v="960"/>
    <x v="91"/>
    <x v="1"/>
    <n v="159"/>
    <n v="461.44479999999999"/>
    <n v="73369.723199999993"/>
    <n v="3.8162049605200169E-3"/>
    <n v="0.85495506161269275"/>
    <x v="1"/>
  </r>
  <r>
    <n v="761"/>
    <x v="92"/>
    <x v="1"/>
    <n v="148"/>
    <n v="486.70659999999998"/>
    <n v="72032.576799999995"/>
    <n v="3.7466554992155007E-3"/>
    <n v="0.85870171711190824"/>
    <x v="1"/>
  </r>
  <r>
    <n v="768"/>
    <x v="93"/>
    <x v="1"/>
    <n v="148"/>
    <n v="486.70659999999998"/>
    <n v="72032.576799999995"/>
    <n v="3.7466554992155007E-3"/>
    <n v="0.86244837261112373"/>
    <x v="1"/>
  </r>
  <r>
    <n v="821"/>
    <x v="94"/>
    <x v="0"/>
    <n v="736"/>
    <n v="96.796400000000006"/>
    <n v="71242.150399999999"/>
    <n v="3.7055427756417258E-3"/>
    <n v="0.86615391538676545"/>
    <x v="1"/>
  </r>
  <r>
    <n v="949"/>
    <x v="95"/>
    <x v="0"/>
    <n v="885"/>
    <n v="77.917599999999993"/>
    <n v="68957.076000000001"/>
    <n v="3.5866884051997602E-3"/>
    <n v="0.86974060379196516"/>
    <x v="1"/>
  </r>
  <r>
    <n v="983"/>
    <x v="96"/>
    <x v="1"/>
    <n v="164"/>
    <n v="419.77839999999998"/>
    <n v="68843.657600000006"/>
    <n v="3.5807891344676848E-3"/>
    <n v="0.87332139292643285"/>
    <x v="1"/>
  </r>
  <r>
    <n v="803"/>
    <x v="97"/>
    <x v="0"/>
    <n v="882"/>
    <n v="77.917599999999993"/>
    <n v="68723.323199999999"/>
    <n v="3.574530139419422E-3"/>
    <n v="0.87689592306585229"/>
    <x v="1"/>
  </r>
  <r>
    <n v="764"/>
    <x v="98"/>
    <x v="1"/>
    <n v="140"/>
    <n v="486.70659999999998"/>
    <n v="68138.923999999999"/>
    <n v="3.5441335803389875E-3"/>
    <n v="0.88044005664619129"/>
    <x v="1"/>
  </r>
  <r>
    <n v="762"/>
    <x v="99"/>
    <x v="1"/>
    <n v="137"/>
    <n v="486.70659999999998"/>
    <n v="66678.804199999999"/>
    <n v="3.4681878607602948E-3"/>
    <n v="0.8839082445069516"/>
    <x v="1"/>
  </r>
  <r>
    <n v="999"/>
    <x v="100"/>
    <x v="1"/>
    <n v="194"/>
    <n v="343.64960000000002"/>
    <n v="66668.022400000002"/>
    <n v="3.467627063242616E-3"/>
    <n v="0.88737587157019426"/>
    <x v="1"/>
  </r>
  <r>
    <n v="765"/>
    <x v="101"/>
    <x v="1"/>
    <n v="134"/>
    <n v="486.70659999999998"/>
    <n v="65218.684399999998"/>
    <n v="3.3922421411816022E-3"/>
    <n v="0.89076811371137588"/>
    <x v="1"/>
  </r>
  <r>
    <n v="769"/>
    <x v="102"/>
    <x v="1"/>
    <n v="133"/>
    <n v="486.70659999999998"/>
    <n v="64731.977800000001"/>
    <n v="3.366926901322038E-3"/>
    <n v="0.89413504061269788"/>
    <x v="1"/>
  </r>
  <r>
    <n v="982"/>
    <x v="103"/>
    <x v="1"/>
    <n v="154"/>
    <n v="419.77839999999998"/>
    <n v="64645.873599999999"/>
    <n v="3.3624483335855087E-3"/>
    <n v="0.89749748894628334"/>
    <x v="1"/>
  </r>
  <r>
    <n v="981"/>
    <x v="104"/>
    <x v="1"/>
    <n v="153"/>
    <n v="419.77839999999998"/>
    <n v="64226.095200000003"/>
    <n v="3.3406142534972913E-3"/>
    <n v="0.90083810319978064"/>
    <x v="1"/>
  </r>
  <r>
    <n v="980"/>
    <x v="105"/>
    <x v="1"/>
    <n v="150"/>
    <n v="419.77839999999998"/>
    <n v="62966.76"/>
    <n v="3.2751120132326382E-3"/>
    <n v="0.90411321521301324"/>
    <x v="1"/>
  </r>
  <r>
    <n v="988"/>
    <x v="106"/>
    <x v="1"/>
    <n v="194"/>
    <n v="308.21789999999999"/>
    <n v="59794.272599999997"/>
    <n v="3.1101003214198597E-3"/>
    <n v="0.90722331553443314"/>
    <x v="1"/>
  </r>
  <r>
    <n v="802"/>
    <x v="107"/>
    <x v="0"/>
    <n v="863"/>
    <n v="65.809700000000007"/>
    <n v="56793.771099999998"/>
    <n v="2.9540341921101645E-3"/>
    <n v="0.91017734972654329"/>
    <x v="1"/>
  </r>
  <r>
    <n v="998"/>
    <x v="108"/>
    <x v="1"/>
    <n v="155"/>
    <n v="343.64960000000002"/>
    <n v="53265.688000000002"/>
    <n v="2.770526777333018E-3"/>
    <n v="0.91294787650387632"/>
    <x v="1"/>
  </r>
  <r>
    <n v="997"/>
    <x v="109"/>
    <x v="1"/>
    <n v="153"/>
    <n v="343.64960000000002"/>
    <n v="52578.388800000001"/>
    <n v="2.7347780447222695E-3"/>
    <n v="0.91568265454859854"/>
    <x v="1"/>
  </r>
  <r>
    <n v="977"/>
    <x v="110"/>
    <x v="1"/>
    <n v="153"/>
    <n v="343.64960000000002"/>
    <n v="52578.388800000001"/>
    <n v="2.7347780447222695E-3"/>
    <n v="0.91841743259332076"/>
    <x v="1"/>
  </r>
  <r>
    <n v="996"/>
    <x v="111"/>
    <x v="0"/>
    <n v="970"/>
    <n v="53.941600000000001"/>
    <n v="52323.351999999999"/>
    <n v="2.7215127268387317E-3"/>
    <n v="0.9211389453201595"/>
    <x v="1"/>
  </r>
  <r>
    <n v="985"/>
    <x v="112"/>
    <x v="1"/>
    <n v="164"/>
    <n v="308.21789999999999"/>
    <n v="50547.7356"/>
    <n v="2.6291569727466858E-3"/>
    <n v="0.92376810229290618"/>
    <x v="1"/>
  </r>
  <r>
    <n v="992"/>
    <x v="113"/>
    <x v="1"/>
    <n v="164"/>
    <n v="294.5797"/>
    <n v="48311.070800000001"/>
    <n v="2.512820547685994E-3"/>
    <n v="0.92628092284059216"/>
    <x v="1"/>
  </r>
  <r>
    <n v="987"/>
    <x v="114"/>
    <x v="1"/>
    <n v="155"/>
    <n v="308.21789999999999"/>
    <n v="47773.7745"/>
    <n v="2.4848739681447335E-3"/>
    <n v="0.92876579680873694"/>
    <x v="1"/>
  </r>
  <r>
    <n v="984"/>
    <x v="115"/>
    <x v="1"/>
    <n v="154"/>
    <n v="308.21789999999999"/>
    <n v="47465.556600000004"/>
    <n v="2.4688425231889611E-3"/>
    <n v="0.93123463933192585"/>
    <x v="1"/>
  </r>
  <r>
    <n v="986"/>
    <x v="116"/>
    <x v="1"/>
    <n v="153"/>
    <n v="308.21789999999999"/>
    <n v="47157.3387"/>
    <n v="2.4528110782331886E-3"/>
    <n v="0.93368745041015899"/>
    <x v="1"/>
  </r>
  <r>
    <n v="894"/>
    <x v="117"/>
    <x v="0"/>
    <n v="847"/>
    <n v="53.928199999999997"/>
    <n v="45677.185400000002"/>
    <n v="2.3758233492432272E-3"/>
    <n v="0.93606327375940224"/>
    <x v="1"/>
  </r>
  <r>
    <n v="991"/>
    <x v="118"/>
    <x v="1"/>
    <n v="154"/>
    <n v="294.5797"/>
    <n v="45365.273800000003"/>
    <n v="2.3595997825831896E-3"/>
    <n v="0.93842287354198539"/>
    <x v="1"/>
  </r>
  <r>
    <n v="993"/>
    <x v="119"/>
    <x v="1"/>
    <n v="153"/>
    <n v="294.5797"/>
    <n v="45070.694100000001"/>
    <n v="2.344277706072909E-3"/>
    <n v="0.94076715124805832"/>
    <x v="1"/>
  </r>
  <r>
    <n v="990"/>
    <x v="120"/>
    <x v="1"/>
    <n v="153"/>
    <n v="294.5797"/>
    <n v="45070.694100000001"/>
    <n v="2.344277706072909E-3"/>
    <n v="0.94311142895413125"/>
    <x v="1"/>
  </r>
  <r>
    <n v="810"/>
    <x v="121"/>
    <x v="0"/>
    <n v="840"/>
    <n v="53.399900000000002"/>
    <n v="44855.915999999997"/>
    <n v="2.3331063779707594E-3"/>
    <n v="0.94544453533210204"/>
    <x v="1"/>
  </r>
  <r>
    <n v="989"/>
    <x v="122"/>
    <x v="1"/>
    <n v="150"/>
    <n v="294.5797"/>
    <n v="44186.955000000002"/>
    <n v="2.2983114765420675E-3"/>
    <n v="0.94774284680864407"/>
    <x v="1"/>
  </r>
  <r>
    <n v="813"/>
    <x v="123"/>
    <x v="0"/>
    <n v="811"/>
    <n v="53.399900000000002"/>
    <n v="43307.318899999998"/>
    <n v="2.2525586577789121E-3"/>
    <n v="0.94999540546642303"/>
    <x v="1"/>
  </r>
  <r>
    <n v="807"/>
    <x v="124"/>
    <x v="0"/>
    <n v="782"/>
    <n v="55.380099999999999"/>
    <n v="43307.2382"/>
    <n v="2.252554460301712E-3"/>
    <n v="0.95224795992672473"/>
    <x v="2"/>
  </r>
  <r>
    <n v="826"/>
    <x v="125"/>
    <x v="0"/>
    <n v="799"/>
    <n v="49.978900000000003"/>
    <n v="39933.141100000001"/>
    <n v="2.0770563729612898E-3"/>
    <n v="0.95432501629968602"/>
    <x v="2"/>
  </r>
  <r>
    <n v="995"/>
    <x v="126"/>
    <x v="0"/>
    <n v="816"/>
    <n v="44.950600000000001"/>
    <n v="36679.689599999998"/>
    <n v="1.9078334672230914E-3"/>
    <n v="0.95623284976690914"/>
    <x v="2"/>
  </r>
  <r>
    <n v="948"/>
    <x v="127"/>
    <x v="0"/>
    <n v="767"/>
    <n v="47.286000000000001"/>
    <n v="36268.362000000001"/>
    <n v="1.8864389415378863E-3"/>
    <n v="0.95811928870844698"/>
    <x v="2"/>
  </r>
  <r>
    <n v="806"/>
    <x v="128"/>
    <x v="0"/>
    <n v="772"/>
    <n v="45.416800000000002"/>
    <n v="35061.7696"/>
    <n v="1.8236800308949503E-3"/>
    <n v="0.95994296873934193"/>
    <x v="2"/>
  </r>
  <r>
    <n v="945"/>
    <x v="129"/>
    <x v="0"/>
    <n v="853"/>
    <n v="40.621600000000001"/>
    <n v="34650.224800000004"/>
    <n v="1.8022742079105152E-3"/>
    <n v="0.9617452429472525"/>
    <x v="2"/>
  </r>
  <r>
    <n v="907"/>
    <x v="130"/>
    <x v="0"/>
    <n v="723"/>
    <n v="47.286000000000001"/>
    <n v="34187.777999999998"/>
    <n v="1.7782208014757389E-3"/>
    <n v="0.96352346374872821"/>
    <x v="2"/>
  </r>
  <r>
    <n v="818"/>
    <x v="131"/>
    <x v="0"/>
    <n v="888"/>
    <n v="37.990900000000003"/>
    <n v="33735.919199999997"/>
    <n v="1.7547181123717594E-3"/>
    <n v="0.96527818186109993"/>
    <x v="2"/>
  </r>
  <r>
    <n v="940"/>
    <x v="132"/>
    <x v="0"/>
    <n v="906"/>
    <n v="35.959600000000002"/>
    <n v="32579.3976"/>
    <n v="1.6945635516841359E-3"/>
    <n v="0.96697274541278411"/>
    <x v="2"/>
  </r>
  <r>
    <n v="947"/>
    <x v="133"/>
    <x v="0"/>
    <n v="792"/>
    <n v="40.6571"/>
    <n v="32200.423200000001"/>
    <n v="1.6748518242560831E-3"/>
    <n v="0.96864759723704019"/>
    <x v="2"/>
  </r>
  <r>
    <n v="941"/>
    <x v="134"/>
    <x v="0"/>
    <n v="885"/>
    <n v="35.959600000000002"/>
    <n v="31824.245999999999"/>
    <n v="1.6552855885656294E-3"/>
    <n v="0.97030288282560584"/>
    <x v="2"/>
  </r>
  <r>
    <n v="823"/>
    <x v="135"/>
    <x v="0"/>
    <n v="681"/>
    <n v="38.958799999999997"/>
    <n v="26530.942800000001"/>
    <n v="1.3799631660683822E-3"/>
    <n v="0.9716828459916742"/>
    <x v="2"/>
  </r>
  <r>
    <n v="809"/>
    <x v="136"/>
    <x v="0"/>
    <n v="850"/>
    <n v="27.4925"/>
    <n v="23368.625"/>
    <n v="1.2154804292015115E-3"/>
    <n v="0.9728983264208757"/>
    <x v="2"/>
  </r>
  <r>
    <n v="916"/>
    <x v="137"/>
    <x v="0"/>
    <n v="989"/>
    <n v="23.372199999999999"/>
    <n v="23115.105800000001"/>
    <n v="1.2022940467752102E-3"/>
    <n v="0.97410062046765089"/>
    <x v="2"/>
  </r>
  <r>
    <n v="812"/>
    <x v="138"/>
    <x v="0"/>
    <n v="822"/>
    <n v="27.4925"/>
    <n v="22598.834999999999"/>
    <n v="1.1754410738866381E-3"/>
    <n v="0.97527606154153756"/>
    <x v="2"/>
  </r>
  <r>
    <n v="994"/>
    <x v="139"/>
    <x v="0"/>
    <n v="814"/>
    <n v="23.971599999999999"/>
    <n v="19512.882399999999"/>
    <n v="1.0149303467581262E-3"/>
    <n v="0.97629099188829571"/>
    <x v="2"/>
  </r>
  <r>
    <n v="815"/>
    <x v="140"/>
    <x v="0"/>
    <n v="722"/>
    <n v="26.970800000000001"/>
    <n v="19472.917600000001"/>
    <n v="1.0128516436997755E-3"/>
    <n v="0.97730384353199551"/>
    <x v="2"/>
  </r>
  <r>
    <n v="937"/>
    <x v="141"/>
    <x v="0"/>
    <n v="503"/>
    <n v="35.959600000000002"/>
    <n v="18087.678800000002"/>
    <n v="9.4080073564803586E-4"/>
    <n v="0.97824464426764357"/>
    <x v="2"/>
  </r>
  <r>
    <n v="808"/>
    <x v="142"/>
    <x v="0"/>
    <n v="859"/>
    <n v="19.7758"/>
    <n v="16987.412199999999"/>
    <n v="8.8357218586369499E-4"/>
    <n v="0.97912821645350723"/>
    <x v="2"/>
  </r>
  <r>
    <n v="811"/>
    <x v="143"/>
    <x v="0"/>
    <n v="831"/>
    <n v="19.7758"/>
    <n v="16433.6898"/>
    <n v="8.5477122986348149E-4"/>
    <n v="0.97998298768337067"/>
    <x v="2"/>
  </r>
  <r>
    <n v="946"/>
    <x v="144"/>
    <x v="0"/>
    <n v="802"/>
    <n v="20.463999999999999"/>
    <n v="16412.128000000001"/>
    <n v="8.5364972845215087E-4"/>
    <n v="0.98083663741182281"/>
    <x v="2"/>
  </r>
  <r>
    <n v="912"/>
    <x v="145"/>
    <x v="0"/>
    <n v="901"/>
    <n v="17.3782"/>
    <n v="15657.7582"/>
    <n v="8.1441242936927118E-4"/>
    <n v="0.98165104984119211"/>
    <x v="2"/>
  </r>
  <r>
    <n v="936"/>
    <x v="146"/>
    <x v="0"/>
    <n v="507"/>
    <n v="27.568000000000001"/>
    <n v="13976.976000000001"/>
    <n v="7.2698931954358575E-4"/>
    <n v="0.98237803916073574"/>
    <x v="2"/>
  </r>
  <r>
    <n v="939"/>
    <x v="147"/>
    <x v="0"/>
    <n v="494"/>
    <n v="27.568000000000001"/>
    <n v="13618.592000000001"/>
    <n v="7.0834856776041683E-4"/>
    <n v="0.9830863877284961"/>
    <x v="2"/>
  </r>
  <r>
    <n v="881"/>
    <x v="148"/>
    <x v="2"/>
    <n v="324"/>
    <n v="41.572299999999998"/>
    <n v="13469.4252"/>
    <n v="7.005899030513628E-4"/>
    <n v="0.98378697763154743"/>
    <x v="2"/>
  </r>
  <r>
    <n v="805"/>
    <x v="149"/>
    <x v="0"/>
    <n v="761"/>
    <n v="15.184799999999999"/>
    <n v="11555.632799999999"/>
    <n v="6.010471525577163E-4"/>
    <n v="0.98438802478410514"/>
    <x v="2"/>
  </r>
  <r>
    <n v="913"/>
    <x v="150"/>
    <x v="0"/>
    <n v="467"/>
    <n v="23.372199999999999"/>
    <n v="10914.8174"/>
    <n v="5.6771619802226808E-4"/>
    <n v="0.98495574098212746"/>
    <x v="2"/>
  </r>
  <r>
    <n v="911"/>
    <x v="151"/>
    <x v="0"/>
    <n v="906"/>
    <n v="12.0413"/>
    <n v="10909.417799999999"/>
    <n v="5.6743534674729931E-4"/>
    <n v="0.98552317632887476"/>
    <x v="2"/>
  </r>
  <r>
    <n v="852"/>
    <x v="152"/>
    <x v="2"/>
    <n v="324"/>
    <n v="30.933399999999999"/>
    <n v="10022.4216"/>
    <n v="5.2129970454001891E-4"/>
    <n v="0.98604447603341483"/>
    <x v="2"/>
  </r>
  <r>
    <n v="908"/>
    <x v="153"/>
    <x v="0"/>
    <n v="809"/>
    <n v="12.0413"/>
    <n v="9741.4117000000006"/>
    <n v="5.0668343876221326E-4"/>
    <n v="0.98655115947217709"/>
    <x v="2"/>
  </r>
  <r>
    <n v="716"/>
    <x v="154"/>
    <x v="2"/>
    <n v="252"/>
    <n v="38.4923"/>
    <n v="9700.0596000000005"/>
    <n v="5.0453257758589743E-4"/>
    <n v="0.98705569204976296"/>
    <x v="2"/>
  </r>
  <r>
    <n v="914"/>
    <x v="155"/>
    <x v="0"/>
    <n v="801"/>
    <n v="12.0413"/>
    <n v="9645.0812999999998"/>
    <n v="5.0167297212426801E-4"/>
    <n v="0.98755736502188718"/>
    <x v="2"/>
  </r>
  <r>
    <n v="935"/>
    <x v="156"/>
    <x v="0"/>
    <n v="512"/>
    <n v="17.977599999999999"/>
    <n v="9204.5311999999994"/>
    <n v="4.7875848637113664E-4"/>
    <n v="0.98803612350825831"/>
    <x v="2"/>
  </r>
  <r>
    <n v="938"/>
    <x v="157"/>
    <x v="0"/>
    <n v="498"/>
    <n v="17.977599999999999"/>
    <n v="8952.8448000000008"/>
    <n v="4.656674340094259E-4"/>
    <n v="0.98850179094226776"/>
    <x v="2"/>
  </r>
  <r>
    <n v="879"/>
    <x v="158"/>
    <x v="3"/>
    <n v="144"/>
    <n v="59.466000000000001"/>
    <n v="8563.1039999999994"/>
    <n v="4.453957100692565E-4"/>
    <n v="0.98894718665233705"/>
    <x v="2"/>
  </r>
  <r>
    <n v="715"/>
    <x v="159"/>
    <x v="2"/>
    <n v="216"/>
    <n v="38.4923"/>
    <n v="8314.3367999999991"/>
    <n v="4.3245649507362631E-4"/>
    <n v="0.98937964314741067"/>
    <x v="2"/>
  </r>
  <r>
    <n v="910"/>
    <x v="160"/>
    <x v="0"/>
    <n v="355"/>
    <n v="23.372199999999999"/>
    <n v="8297.1309999999994"/>
    <n v="4.3156156380707742E-4"/>
    <n v="0.98981120471121775"/>
    <x v="2"/>
  </r>
  <r>
    <n v="869"/>
    <x v="161"/>
    <x v="2"/>
    <n v="288"/>
    <n v="26.176300000000001"/>
    <n v="7538.7744000000002"/>
    <n v="3.9211689790757341E-4"/>
    <n v="0.99020332160912528"/>
    <x v="2"/>
  </r>
  <r>
    <n v="929"/>
    <x v="162"/>
    <x v="3"/>
    <n v="669"/>
    <n v="11.2163"/>
    <n v="7503.7047000000002"/>
    <n v="3.9029280539002186E-4"/>
    <n v="0.99059361441451532"/>
    <x v="2"/>
  </r>
  <r>
    <n v="909"/>
    <x v="163"/>
    <x v="0"/>
    <n v="422"/>
    <n v="17.3782"/>
    <n v="7333.6004000000003"/>
    <n v="3.8144511120292171E-4"/>
    <n v="0.99097505952571829"/>
    <x v="2"/>
  </r>
  <r>
    <n v="841"/>
    <x v="164"/>
    <x v="2"/>
    <n v="288"/>
    <n v="24.745899999999999"/>
    <n v="7126.8191999999999"/>
    <n v="3.7068972864503461E-4"/>
    <n v="0.99134574925436336"/>
    <x v="2"/>
  </r>
  <r>
    <n v="915"/>
    <x v="165"/>
    <x v="0"/>
    <n v="402"/>
    <n v="17.3782"/>
    <n v="6986.0364"/>
    <n v="3.6336714384733299E-4"/>
    <n v="0.99170911639821069"/>
    <x v="2"/>
  </r>
  <r>
    <n v="714"/>
    <x v="166"/>
    <x v="2"/>
    <n v="180"/>
    <n v="38.4923"/>
    <n v="6928.6139999999996"/>
    <n v="3.6038041256135524E-4"/>
    <n v="0.99206949681077206"/>
    <x v="2"/>
  </r>
  <r>
    <n v="868"/>
    <x v="167"/>
    <x v="2"/>
    <n v="252"/>
    <n v="26.176300000000001"/>
    <n v="6596.4276"/>
    <n v="3.4310228566912672E-4"/>
    <n v="0.99241259909644119"/>
    <x v="2"/>
  </r>
  <r>
    <n v="930"/>
    <x v="168"/>
    <x v="3"/>
    <n v="499"/>
    <n v="13.09"/>
    <n v="6531.91"/>
    <n v="3.3974650927496355E-4"/>
    <n v="0.99275234560571612"/>
    <x v="2"/>
  </r>
  <r>
    <n v="933"/>
    <x v="169"/>
    <x v="3"/>
    <n v="527"/>
    <n v="12.192399999999999"/>
    <n v="6425.3948"/>
    <n v="3.3420629708821805E-4"/>
    <n v="0.99308655190280437"/>
    <x v="2"/>
  </r>
  <r>
    <n v="866"/>
    <x v="170"/>
    <x v="2"/>
    <n v="252"/>
    <n v="23.748999999999999"/>
    <n v="5984.7479999999996"/>
    <n v="3.1128678164431527E-4"/>
    <n v="0.99339783868444864"/>
    <x v="2"/>
  </r>
  <r>
    <n v="928"/>
    <x v="171"/>
    <x v="3"/>
    <n v="609"/>
    <n v="9.3462999999999994"/>
    <n v="5691.8967000000002"/>
    <n v="2.960546050050727E-4"/>
    <n v="0.99369389328945368"/>
    <x v="2"/>
  </r>
  <r>
    <n v="867"/>
    <x v="172"/>
    <x v="2"/>
    <n v="216"/>
    <n v="26.176300000000001"/>
    <n v="5654.0807999999997"/>
    <n v="2.9408767343068004E-4"/>
    <n v="0.99398798096288432"/>
    <x v="2"/>
  </r>
  <r>
    <n v="713"/>
    <x v="173"/>
    <x v="2"/>
    <n v="144"/>
    <n v="38.4923"/>
    <n v="5542.8912"/>
    <n v="2.8830433004908422E-4"/>
    <n v="0.99427628529293344"/>
    <x v="2"/>
  </r>
  <r>
    <n v="932"/>
    <x v="174"/>
    <x v="3"/>
    <n v="574"/>
    <n v="9.3462999999999994"/>
    <n v="5364.7762000000002"/>
    <n v="2.790399725335168E-4"/>
    <n v="0.99455532526546697"/>
    <x v="2"/>
  </r>
  <r>
    <n v="857"/>
    <x v="175"/>
    <x v="2"/>
    <n v="144"/>
    <n v="37.120899999999999"/>
    <n v="5345.4096"/>
    <n v="2.7803265082416615E-4"/>
    <n v="0.99483335791629113"/>
    <x v="2"/>
  </r>
  <r>
    <n v="952"/>
    <x v="176"/>
    <x v="0"/>
    <n v="589"/>
    <n v="8.9865999999999993"/>
    <n v="5293.1073999999999"/>
    <n v="2.7531223828366867E-4"/>
    <n v="0.99510867015457483"/>
    <x v="2"/>
  </r>
  <r>
    <n v="934"/>
    <x v="177"/>
    <x v="3"/>
    <n v="482"/>
    <n v="10.8423"/>
    <n v="5225.9885999999997"/>
    <n v="2.7182116476815414E-4"/>
    <n v="0.99538049131934303"/>
    <x v="2"/>
  </r>
  <r>
    <n v="865"/>
    <x v="178"/>
    <x v="2"/>
    <n v="216"/>
    <n v="23.748999999999999"/>
    <n v="5129.7839999999997"/>
    <n v="2.6681724140941311E-4"/>
    <n v="0.99564730856075245"/>
    <x v="2"/>
  </r>
  <r>
    <n v="851"/>
    <x v="179"/>
    <x v="2"/>
    <n v="180"/>
    <n v="24.745899999999999"/>
    <n v="4454.2619999999997"/>
    <n v="2.3168108040314662E-4"/>
    <n v="0.99587898964115562"/>
    <x v="2"/>
  </r>
  <r>
    <n v="864"/>
    <x v="180"/>
    <x v="2"/>
    <n v="180"/>
    <n v="23.748999999999999"/>
    <n v="4274.82"/>
    <n v="2.2234770117451091E-4"/>
    <n v="0.99610133734233008"/>
    <x v="2"/>
  </r>
  <r>
    <n v="708"/>
    <x v="181"/>
    <x v="3"/>
    <n v="324"/>
    <n v="13.0863"/>
    <n v="4239.9611999999997"/>
    <n v="2.2053457827209583E-4"/>
    <n v="0.99632187192060218"/>
    <x v="2"/>
  </r>
  <r>
    <n v="856"/>
    <x v="182"/>
    <x v="2"/>
    <n v="108"/>
    <n v="37.120899999999999"/>
    <n v="4009.0572000000002"/>
    <n v="2.0852448811812461E-4"/>
    <n v="0.99653039640872032"/>
    <x v="2"/>
  </r>
  <r>
    <n v="848"/>
    <x v="183"/>
    <x v="3"/>
    <n v="216"/>
    <n v="18.558399999999999"/>
    <n v="4008.6143999999999"/>
    <n v="2.0850145660753934E-4"/>
    <n v="0.99673889786532788"/>
    <x v="2"/>
  </r>
  <r>
    <n v="931"/>
    <x v="184"/>
    <x v="3"/>
    <n v="488"/>
    <n v="8.0373000000000001"/>
    <n v="3922.2024000000001"/>
    <n v="2.0400687916243245E-4"/>
    <n v="0.99694290474449032"/>
    <x v="2"/>
  </r>
  <r>
    <n v="707"/>
    <x v="185"/>
    <x v="3"/>
    <n v="288"/>
    <n v="13.0863"/>
    <n v="3768.8544000000002"/>
    <n v="1.9603073624186297E-4"/>
    <n v="0.99713893548073218"/>
    <x v="2"/>
  </r>
  <r>
    <n v="842"/>
    <x v="186"/>
    <x v="3"/>
    <n v="72"/>
    <n v="51.5625"/>
    <n v="3712.5"/>
    <n v="1.9309955521176839E-4"/>
    <n v="0.99733203503594392"/>
    <x v="2"/>
  </r>
  <r>
    <n v="850"/>
    <x v="187"/>
    <x v="2"/>
    <n v="144"/>
    <n v="24.745899999999999"/>
    <n v="3563.4096"/>
    <n v="1.853448643225173E-4"/>
    <n v="0.99751737990026645"/>
    <x v="2"/>
  </r>
  <r>
    <n v="845"/>
    <x v="188"/>
    <x v="3"/>
    <n v="324"/>
    <n v="10.308400000000001"/>
    <n v="3339.9216000000001"/>
    <n v="1.7372050515883578E-4"/>
    <n v="0.9976911004054253"/>
    <x v="2"/>
  </r>
  <r>
    <n v="884"/>
    <x v="189"/>
    <x v="2"/>
    <n v="72"/>
    <n v="41.572299999999998"/>
    <n v="2993.2055999999998"/>
    <n v="1.5568664512252508E-4"/>
    <n v="0.99784678705054786"/>
    <x v="2"/>
  </r>
  <r>
    <n v="858"/>
    <x v="190"/>
    <x v="2"/>
    <n v="324"/>
    <n v="9.1593"/>
    <n v="2967.6131999999998"/>
    <n v="1.5435549870991856E-4"/>
    <n v="0.99800114254925776"/>
    <x v="2"/>
  </r>
  <r>
    <n v="711"/>
    <x v="191"/>
    <x v="3"/>
    <n v="216"/>
    <n v="13.0863"/>
    <n v="2826.6408000000001"/>
    <n v="1.4702305218139723E-4"/>
    <n v="0.99814816560143915"/>
    <x v="2"/>
  </r>
  <r>
    <n v="855"/>
    <x v="192"/>
    <x v="2"/>
    <n v="72"/>
    <n v="37.120899999999999"/>
    <n v="2672.7048"/>
    <n v="1.3901632541208307E-4"/>
    <n v="0.99828718192685129"/>
    <x v="2"/>
  </r>
  <r>
    <n v="849"/>
    <x v="193"/>
    <x v="2"/>
    <n v="108"/>
    <n v="24.745899999999999"/>
    <n v="2672.5572000000002"/>
    <n v="1.3900864824188799E-4"/>
    <n v="0.99842619057509319"/>
    <x v="2"/>
  </r>
  <r>
    <n v="843"/>
    <x v="194"/>
    <x v="3"/>
    <n v="252"/>
    <n v="10.3125"/>
    <n v="2598.75"/>
    <n v="1.3516968864823789E-4"/>
    <n v="0.99856136026374143"/>
    <x v="2"/>
  </r>
  <r>
    <n v="847"/>
    <x v="195"/>
    <x v="3"/>
    <n v="180"/>
    <n v="14.433400000000001"/>
    <n v="2598.0120000000002"/>
    <n v="1.3513130279726245E-4"/>
    <n v="0.99869649156653872"/>
    <x v="2"/>
  </r>
  <r>
    <n v="844"/>
    <x v="196"/>
    <x v="3"/>
    <n v="288"/>
    <n v="8.2459000000000007"/>
    <n v="2374.8191999999999"/>
    <n v="1.2352229797397109E-4"/>
    <n v="0.99882001386451269"/>
    <x v="2"/>
  </r>
  <r>
    <n v="863"/>
    <x v="197"/>
    <x v="2"/>
    <n v="144"/>
    <n v="15.6709"/>
    <n v="2256.6095999999998"/>
    <n v="1.1737382088797483E-4"/>
    <n v="0.99893738768540064"/>
    <x v="2"/>
  </r>
  <r>
    <n v="880"/>
    <x v="198"/>
    <x v="3"/>
    <n v="108"/>
    <n v="20.566299999999998"/>
    <n v="2221.1604000000002"/>
    <n v="1.1552998930477943E-4"/>
    <n v="0.99905291767470539"/>
    <x v="2"/>
  </r>
  <r>
    <n v="712"/>
    <x v="199"/>
    <x v="2"/>
    <n v="288"/>
    <n v="6.9222999999999999"/>
    <n v="1993.6224"/>
    <n v="1.0369497608086686E-4"/>
    <n v="0.99915661265078626"/>
    <x v="2"/>
  </r>
  <r>
    <n v="862"/>
    <x v="200"/>
    <x v="2"/>
    <n v="108"/>
    <n v="15.6709"/>
    <n v="1692.4572000000001"/>
    <n v="8.8030365665981133E-5"/>
    <n v="0.99924464301645222"/>
    <x v="2"/>
  </r>
  <r>
    <n v="883"/>
    <x v="201"/>
    <x v="2"/>
    <n v="36"/>
    <n v="41.572299999999998"/>
    <n v="1496.6027999999999"/>
    <n v="7.7843322561262538E-5"/>
    <n v="0.99932248633901344"/>
    <x v="2"/>
  </r>
  <r>
    <n v="861"/>
    <x v="202"/>
    <x v="2"/>
    <n v="72"/>
    <n v="15.6709"/>
    <n v="1128.3047999999999"/>
    <n v="5.8686910443987413E-5"/>
    <n v="0.99938117324945741"/>
    <x v="2"/>
  </r>
  <r>
    <n v="854"/>
    <x v="203"/>
    <x v="2"/>
    <n v="36"/>
    <n v="30.933399999999999"/>
    <n v="1113.6024"/>
    <n v="5.7922189393335432E-5"/>
    <n v="0.99943909543885079"/>
    <x v="2"/>
  </r>
  <r>
    <n v="872"/>
    <x v="204"/>
    <x v="3"/>
    <n v="324"/>
    <n v="3.3622999999999998"/>
    <n v="1089.3851999999999"/>
    <n v="5.6662571737180698E-5"/>
    <n v="0.99949575801058799"/>
    <x v="2"/>
  </r>
  <r>
    <n v="871"/>
    <x v="205"/>
    <x v="3"/>
    <n v="288"/>
    <n v="3.7363"/>
    <n v="1076.0544"/>
    <n v="5.5969192194926951E-5"/>
    <n v="0.99955172720278296"/>
    <x v="2"/>
  </r>
  <r>
    <n v="921"/>
    <x v="206"/>
    <x v="3"/>
    <n v="529"/>
    <n v="1.8663000000000001"/>
    <n v="987.27269999999999"/>
    <n v="5.1351358718578222E-5"/>
    <n v="0.99960307856150155"/>
    <x v="2"/>
  </r>
  <r>
    <n v="875"/>
    <x v="207"/>
    <x v="2"/>
    <n v="288"/>
    <n v="3.3622999999999998"/>
    <n v="968.3424"/>
    <n v="5.0366730433049513E-5"/>
    <n v="0.99965344529193456"/>
    <x v="2"/>
  </r>
  <r>
    <n v="923"/>
    <x v="208"/>
    <x v="3"/>
    <n v="502"/>
    <n v="1.8663000000000001"/>
    <n v="936.88260000000002"/>
    <n v="4.8730400901183876E-5"/>
    <n v="0.9997021756928357"/>
    <x v="2"/>
  </r>
  <r>
    <n v="878"/>
    <x v="209"/>
    <x v="3"/>
    <n v="108"/>
    <n v="8.2204999999999995"/>
    <n v="887.81399999999996"/>
    <n v="4.6178178723442679E-5"/>
    <n v="0.99974835387155914"/>
    <x v="2"/>
  </r>
  <r>
    <n v="874"/>
    <x v="210"/>
    <x v="2"/>
    <n v="252"/>
    <n v="3.3622999999999998"/>
    <n v="847.29960000000005"/>
    <n v="4.4070889128918328E-5"/>
    <n v="0.99979242476068808"/>
    <x v="2"/>
  </r>
  <r>
    <n v="846"/>
    <x v="211"/>
    <x v="3"/>
    <n v="144"/>
    <n v="5.7709000000000001"/>
    <n v="831.00959999999998"/>
    <n v="4.3223591686655776E-5"/>
    <n v="0.99983564835237471"/>
    <x v="2"/>
  </r>
  <r>
    <n v="922"/>
    <x v="212"/>
    <x v="3"/>
    <n v="505"/>
    <n v="1.4923"/>
    <n v="753.61149999999998"/>
    <n v="3.9197857360935649E-5"/>
    <n v="0.99987484620973566"/>
    <x v="2"/>
  </r>
  <r>
    <n v="710"/>
    <x v="213"/>
    <x v="2"/>
    <n v="216"/>
    <n v="3.3963000000000001"/>
    <n v="733.60080000000005"/>
    <n v="3.8157033854006052E-5"/>
    <n v="0.99991300324358967"/>
    <x v="2"/>
  </r>
  <r>
    <n v="709"/>
    <x v="214"/>
    <x v="2"/>
    <n v="180"/>
    <n v="3.3963000000000001"/>
    <n v="611.33399999999995"/>
    <n v="3.1797528211671709E-5"/>
    <n v="0.99994480077180137"/>
    <x v="2"/>
  </r>
  <r>
    <n v="870"/>
    <x v="215"/>
    <x v="3"/>
    <n v="252"/>
    <n v="1.8663000000000001"/>
    <n v="470.30759999999998"/>
    <n v="2.4462272962347282E-5"/>
    <n v="0.99996926304476375"/>
    <x v="2"/>
  </r>
  <r>
    <n v="860"/>
    <x v="216"/>
    <x v="2"/>
    <n v="36"/>
    <n v="9.1593"/>
    <n v="329.73480000000001"/>
    <n v="1.7150610967768731E-5"/>
    <n v="0.99998641365573149"/>
    <x v="2"/>
  </r>
  <r>
    <n v="873"/>
    <x v="217"/>
    <x v="3"/>
    <n v="180"/>
    <n v="0.85650000000000004"/>
    <n v="154.16999999999999"/>
    <n v="8.0188978927941637E-6"/>
    <n v="0.9999944325536243"/>
    <x v="2"/>
  </r>
  <r>
    <n v="877"/>
    <x v="218"/>
    <x v="3"/>
    <n v="36"/>
    <n v="2.9733000000000001"/>
    <n v="107.03879999999999"/>
    <n v="5.5674463758657062E-6"/>
    <n v="1.000000000000000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9">
  <r>
    <n v="1"/>
    <x v="0"/>
    <x v="0"/>
    <n v="324"/>
  </r>
  <r>
    <n v="1"/>
    <x v="0"/>
    <x v="1"/>
    <n v="353"/>
  </r>
  <r>
    <n v="1"/>
    <x v="0"/>
    <x v="2"/>
    <n v="408"/>
  </r>
  <r>
    <n v="2"/>
    <x v="1"/>
    <x v="0"/>
    <n v="318"/>
  </r>
  <r>
    <n v="2"/>
    <x v="1"/>
    <x v="1"/>
    <n v="364"/>
  </r>
  <r>
    <n v="2"/>
    <x v="1"/>
    <x v="2"/>
    <n v="427"/>
  </r>
  <r>
    <n v="3"/>
    <x v="2"/>
    <x v="0"/>
    <n v="443"/>
  </r>
  <r>
    <n v="3"/>
    <x v="2"/>
    <x v="1"/>
    <n v="324"/>
  </r>
  <r>
    <n v="3"/>
    <x v="2"/>
    <x v="2"/>
    <n v="585"/>
  </r>
  <r>
    <n v="4"/>
    <x v="3"/>
    <x v="0"/>
    <n v="422"/>
  </r>
  <r>
    <n v="4"/>
    <x v="3"/>
    <x v="1"/>
    <n v="388"/>
  </r>
  <r>
    <n v="4"/>
    <x v="3"/>
    <x v="2"/>
    <n v="512"/>
  </r>
  <r>
    <n v="316"/>
    <x v="4"/>
    <x v="3"/>
    <n v="388"/>
  </r>
  <r>
    <n v="316"/>
    <x v="4"/>
    <x v="4"/>
    <n v="532"/>
  </r>
  <r>
    <n v="316"/>
    <x v="4"/>
    <x v="1"/>
    <n v="441"/>
  </r>
  <r>
    <n v="317"/>
    <x v="5"/>
    <x v="4"/>
    <n v="158"/>
  </r>
  <r>
    <n v="317"/>
    <x v="5"/>
    <x v="1"/>
    <n v="152"/>
  </r>
  <r>
    <n v="317"/>
    <x v="5"/>
    <x v="2"/>
    <n v="283"/>
  </r>
  <r>
    <n v="318"/>
    <x v="6"/>
    <x v="4"/>
    <n v="171"/>
  </r>
  <r>
    <n v="318"/>
    <x v="6"/>
    <x v="1"/>
    <n v="132"/>
  </r>
  <r>
    <n v="318"/>
    <x v="6"/>
    <x v="2"/>
    <n v="136"/>
  </r>
  <r>
    <n v="319"/>
    <x v="7"/>
    <x v="4"/>
    <n v="184"/>
  </r>
  <r>
    <n v="319"/>
    <x v="7"/>
    <x v="1"/>
    <n v="305"/>
  </r>
  <r>
    <n v="319"/>
    <x v="7"/>
    <x v="2"/>
    <n v="308"/>
  </r>
  <r>
    <n v="320"/>
    <x v="8"/>
    <x v="4"/>
    <n v="372"/>
  </r>
  <r>
    <n v="320"/>
    <x v="8"/>
    <x v="1"/>
    <n v="283"/>
  </r>
  <r>
    <n v="320"/>
    <x v="8"/>
    <x v="2"/>
    <n v="481"/>
  </r>
  <r>
    <n v="321"/>
    <x v="9"/>
    <x v="4"/>
    <n v="540"/>
  </r>
  <r>
    <n v="321"/>
    <x v="9"/>
    <x v="1"/>
    <n v="641"/>
  </r>
  <r>
    <n v="321"/>
    <x v="9"/>
    <x v="2"/>
    <n v="569"/>
  </r>
  <r>
    <n v="322"/>
    <x v="10"/>
    <x v="4"/>
    <n v="587"/>
  </r>
  <r>
    <n v="322"/>
    <x v="10"/>
    <x v="1"/>
    <n v="475"/>
  </r>
  <r>
    <n v="322"/>
    <x v="10"/>
    <x v="2"/>
    <n v="622"/>
  </r>
  <r>
    <n v="323"/>
    <x v="11"/>
    <x v="4"/>
    <n v="568"/>
  </r>
  <r>
    <n v="323"/>
    <x v="11"/>
    <x v="1"/>
    <n v="513"/>
  </r>
  <r>
    <n v="323"/>
    <x v="11"/>
    <x v="2"/>
    <n v="603"/>
  </r>
  <r>
    <n v="324"/>
    <x v="12"/>
    <x v="4"/>
    <n v="568"/>
  </r>
  <r>
    <n v="324"/>
    <x v="12"/>
    <x v="1"/>
    <n v="476"/>
  </r>
  <r>
    <n v="324"/>
    <x v="12"/>
    <x v="2"/>
    <n v="585"/>
  </r>
  <r>
    <n v="325"/>
    <x v="13"/>
    <x v="5"/>
    <n v="641"/>
  </r>
  <r>
    <n v="325"/>
    <x v="13"/>
    <x v="0"/>
    <n v="540"/>
  </r>
  <r>
    <n v="325"/>
    <x v="13"/>
    <x v="2"/>
    <n v="569"/>
  </r>
  <r>
    <n v="326"/>
    <x v="14"/>
    <x v="5"/>
    <n v="475"/>
  </r>
  <r>
    <n v="326"/>
    <x v="14"/>
    <x v="0"/>
    <n v="587"/>
  </r>
  <r>
    <n v="326"/>
    <x v="14"/>
    <x v="2"/>
    <n v="622"/>
  </r>
  <r>
    <n v="327"/>
    <x v="15"/>
    <x v="3"/>
    <n v="443"/>
  </r>
  <r>
    <n v="327"/>
    <x v="15"/>
    <x v="4"/>
    <n v="408"/>
  </r>
  <r>
    <n v="327"/>
    <x v="15"/>
    <x v="1"/>
    <n v="513"/>
  </r>
  <r>
    <n v="328"/>
    <x v="16"/>
    <x v="3"/>
    <n v="585"/>
  </r>
  <r>
    <n v="328"/>
    <x v="16"/>
    <x v="4"/>
    <n v="568"/>
  </r>
  <r>
    <n v="328"/>
    <x v="16"/>
    <x v="1"/>
    <n v="476"/>
  </r>
  <r>
    <n v="329"/>
    <x v="17"/>
    <x v="3"/>
    <n v="576"/>
  </r>
  <r>
    <n v="329"/>
    <x v="17"/>
    <x v="4"/>
    <n v="558"/>
  </r>
  <r>
    <n v="329"/>
    <x v="17"/>
    <x v="1"/>
    <n v="467"/>
  </r>
  <r>
    <n v="330"/>
    <x v="18"/>
    <x v="3"/>
    <n v="566"/>
  </r>
  <r>
    <n v="330"/>
    <x v="18"/>
    <x v="4"/>
    <n v="548"/>
  </r>
  <r>
    <n v="330"/>
    <x v="18"/>
    <x v="1"/>
    <n v="457"/>
  </r>
  <r>
    <n v="331"/>
    <x v="19"/>
    <x v="3"/>
    <n v="441"/>
  </r>
  <r>
    <n v="331"/>
    <x v="19"/>
    <x v="4"/>
    <n v="574"/>
  </r>
  <r>
    <n v="331"/>
    <x v="19"/>
    <x v="1"/>
    <n v="390"/>
  </r>
  <r>
    <n v="332"/>
    <x v="20"/>
    <x v="3"/>
    <n v="233"/>
  </r>
  <r>
    <n v="332"/>
    <x v="20"/>
    <x v="4"/>
    <n v="344"/>
  </r>
  <r>
    <n v="332"/>
    <x v="20"/>
    <x v="1"/>
    <n v="267"/>
  </r>
  <r>
    <n v="341"/>
    <x v="21"/>
    <x v="5"/>
    <n v="339"/>
  </r>
  <r>
    <n v="341"/>
    <x v="21"/>
    <x v="1"/>
    <n v="392"/>
  </r>
  <r>
    <n v="341"/>
    <x v="21"/>
    <x v="2"/>
    <n v="372"/>
  </r>
  <r>
    <n v="342"/>
    <x v="22"/>
    <x v="5"/>
    <n v="336"/>
  </r>
  <r>
    <n v="342"/>
    <x v="22"/>
    <x v="1"/>
    <n v="388"/>
  </r>
  <r>
    <n v="342"/>
    <x v="22"/>
    <x v="2"/>
    <n v="369"/>
  </r>
  <r>
    <n v="343"/>
    <x v="23"/>
    <x v="5"/>
    <n v="499"/>
  </r>
  <r>
    <n v="343"/>
    <x v="23"/>
    <x v="1"/>
    <n v="606"/>
  </r>
  <r>
    <n v="343"/>
    <x v="23"/>
    <x v="2"/>
    <n v="568"/>
  </r>
  <r>
    <n v="344"/>
    <x v="24"/>
    <x v="5"/>
    <n v="382"/>
  </r>
  <r>
    <n v="344"/>
    <x v="24"/>
    <x v="1"/>
    <n v="332"/>
  </r>
  <r>
    <n v="344"/>
    <x v="24"/>
    <x v="2"/>
    <n v="358"/>
  </r>
  <r>
    <n v="345"/>
    <x v="25"/>
    <x v="5"/>
    <n v="300"/>
  </r>
  <r>
    <n v="345"/>
    <x v="25"/>
    <x v="1"/>
    <n v="315"/>
  </r>
  <r>
    <n v="345"/>
    <x v="25"/>
    <x v="2"/>
    <n v="321"/>
  </r>
  <r>
    <n v="346"/>
    <x v="26"/>
    <x v="5"/>
    <n v="641"/>
  </r>
  <r>
    <n v="346"/>
    <x v="26"/>
    <x v="1"/>
    <n v="476"/>
  </r>
  <r>
    <n v="346"/>
    <x v="26"/>
    <x v="2"/>
    <n v="585"/>
  </r>
  <r>
    <n v="347"/>
    <x v="27"/>
    <x v="5"/>
    <n v="332"/>
  </r>
  <r>
    <n v="347"/>
    <x v="27"/>
    <x v="1"/>
    <n v="246"/>
  </r>
  <r>
    <n v="347"/>
    <x v="27"/>
    <x v="2"/>
    <n v="318"/>
  </r>
  <r>
    <n v="348"/>
    <x v="28"/>
    <x v="5"/>
    <n v="337"/>
  </r>
  <r>
    <n v="348"/>
    <x v="28"/>
    <x v="1"/>
    <n v="251"/>
  </r>
  <r>
    <n v="348"/>
    <x v="28"/>
    <x v="2"/>
    <n v="323"/>
  </r>
  <r>
    <n v="349"/>
    <x v="29"/>
    <x v="5"/>
    <n v="342"/>
  </r>
  <r>
    <n v="349"/>
    <x v="29"/>
    <x v="1"/>
    <n v="256"/>
  </r>
  <r>
    <n v="349"/>
    <x v="29"/>
    <x v="2"/>
    <n v="328"/>
  </r>
  <r>
    <n v="350"/>
    <x v="30"/>
    <x v="3"/>
    <n v="406"/>
  </r>
  <r>
    <n v="350"/>
    <x v="30"/>
    <x v="4"/>
    <n v="622"/>
  </r>
  <r>
    <n v="350"/>
    <x v="30"/>
    <x v="1"/>
    <n v="313"/>
  </r>
  <r>
    <n v="351"/>
    <x v="31"/>
    <x v="3"/>
    <n v="281"/>
  </r>
  <r>
    <n v="351"/>
    <x v="31"/>
    <x v="4"/>
    <n v="179"/>
  </r>
  <r>
    <n v="351"/>
    <x v="31"/>
    <x v="1"/>
    <n v="145"/>
  </r>
  <r>
    <n v="352"/>
    <x v="32"/>
    <x v="3"/>
    <n v="278"/>
  </r>
  <r>
    <n v="352"/>
    <x v="32"/>
    <x v="4"/>
    <n v="300"/>
  </r>
  <r>
    <n v="352"/>
    <x v="32"/>
    <x v="1"/>
    <n v="195"/>
  </r>
  <r>
    <n v="355"/>
    <x v="33"/>
    <x v="0"/>
    <n v="257"/>
  </r>
  <r>
    <n v="355"/>
    <x v="33"/>
    <x v="1"/>
    <n v="289"/>
  </r>
  <r>
    <n v="355"/>
    <x v="33"/>
    <x v="2"/>
    <n v="276"/>
  </r>
  <r>
    <n v="356"/>
    <x v="34"/>
    <x v="0"/>
    <n v="243"/>
  </r>
  <r>
    <n v="356"/>
    <x v="34"/>
    <x v="1"/>
    <n v="275"/>
  </r>
  <r>
    <n v="356"/>
    <x v="34"/>
    <x v="2"/>
    <n v="262"/>
  </r>
  <r>
    <n v="357"/>
    <x v="35"/>
    <x v="0"/>
    <n v="228"/>
  </r>
  <r>
    <n v="357"/>
    <x v="35"/>
    <x v="1"/>
    <n v="260"/>
  </r>
  <r>
    <n v="357"/>
    <x v="35"/>
    <x v="2"/>
    <n v="248"/>
  </r>
  <r>
    <n v="358"/>
    <x v="36"/>
    <x v="0"/>
    <n v="214"/>
  </r>
  <r>
    <n v="358"/>
    <x v="36"/>
    <x v="1"/>
    <n v="246"/>
  </r>
  <r>
    <n v="358"/>
    <x v="36"/>
    <x v="2"/>
    <n v="233"/>
  </r>
  <r>
    <n v="359"/>
    <x v="37"/>
    <x v="0"/>
    <n v="360"/>
  </r>
  <r>
    <n v="359"/>
    <x v="37"/>
    <x v="1"/>
    <n v="374"/>
  </r>
  <r>
    <n v="359"/>
    <x v="37"/>
    <x v="2"/>
    <n v="369"/>
  </r>
  <r>
    <n v="360"/>
    <x v="38"/>
    <x v="0"/>
    <n v="353"/>
  </r>
  <r>
    <n v="360"/>
    <x v="38"/>
    <x v="1"/>
    <n v="368"/>
  </r>
  <r>
    <n v="360"/>
    <x v="38"/>
    <x v="2"/>
    <n v="363"/>
  </r>
  <r>
    <n v="361"/>
    <x v="39"/>
    <x v="0"/>
    <n v="601"/>
  </r>
  <r>
    <n v="361"/>
    <x v="39"/>
    <x v="1"/>
    <n v="531"/>
  </r>
  <r>
    <n v="361"/>
    <x v="39"/>
    <x v="2"/>
    <n v="499"/>
  </r>
  <r>
    <n v="362"/>
    <x v="40"/>
    <x v="0"/>
    <n v="315"/>
  </r>
  <r>
    <n v="362"/>
    <x v="40"/>
    <x v="1"/>
    <n v="334"/>
  </r>
  <r>
    <n v="362"/>
    <x v="40"/>
    <x v="2"/>
    <n v="377"/>
  </r>
  <r>
    <n v="363"/>
    <x v="41"/>
    <x v="0"/>
    <n v="643"/>
  </r>
  <r>
    <n v="363"/>
    <x v="41"/>
    <x v="1"/>
    <n v="619"/>
  </r>
  <r>
    <n v="363"/>
    <x v="41"/>
    <x v="2"/>
    <n v="499"/>
  </r>
  <r>
    <n v="364"/>
    <x v="42"/>
    <x v="0"/>
    <n v="358"/>
  </r>
  <r>
    <n v="364"/>
    <x v="42"/>
    <x v="1"/>
    <n v="326"/>
  </r>
  <r>
    <n v="364"/>
    <x v="42"/>
    <x v="2"/>
    <n v="368"/>
  </r>
  <r>
    <n v="365"/>
    <x v="43"/>
    <x v="0"/>
    <n v="691"/>
  </r>
  <r>
    <n v="365"/>
    <x v="43"/>
    <x v="1"/>
    <n v="619"/>
  </r>
  <r>
    <n v="365"/>
    <x v="43"/>
    <x v="2"/>
    <n v="411"/>
  </r>
  <r>
    <n v="366"/>
    <x v="44"/>
    <x v="0"/>
    <n v="299"/>
  </r>
  <r>
    <n v="366"/>
    <x v="44"/>
    <x v="1"/>
    <n v="412"/>
  </r>
  <r>
    <n v="366"/>
    <x v="44"/>
    <x v="2"/>
    <n v="318"/>
  </r>
  <r>
    <n v="367"/>
    <x v="45"/>
    <x v="0"/>
    <n v="689"/>
  </r>
  <r>
    <n v="367"/>
    <x v="45"/>
    <x v="1"/>
    <n v="569"/>
  </r>
  <r>
    <n v="367"/>
    <x v="45"/>
    <x v="2"/>
    <n v="643"/>
  </r>
  <r>
    <n v="368"/>
    <x v="46"/>
    <x v="0"/>
    <n v="360"/>
  </r>
  <r>
    <n v="368"/>
    <x v="46"/>
    <x v="1"/>
    <n v="374"/>
  </r>
  <r>
    <n v="368"/>
    <x v="46"/>
    <x v="2"/>
    <n v="369"/>
  </r>
  <r>
    <n v="369"/>
    <x v="47"/>
    <x v="0"/>
    <n v="353"/>
  </r>
  <r>
    <n v="369"/>
    <x v="47"/>
    <x v="1"/>
    <n v="368"/>
  </r>
  <r>
    <n v="369"/>
    <x v="47"/>
    <x v="2"/>
    <n v="363"/>
  </r>
  <r>
    <n v="370"/>
    <x v="48"/>
    <x v="0"/>
    <n v="155"/>
  </r>
  <r>
    <n v="370"/>
    <x v="48"/>
    <x v="1"/>
    <n v="476"/>
  </r>
  <r>
    <n v="370"/>
    <x v="48"/>
    <x v="2"/>
    <n v="252"/>
  </r>
  <r>
    <n v="371"/>
    <x v="49"/>
    <x v="0"/>
    <n v="649"/>
  </r>
  <r>
    <n v="371"/>
    <x v="49"/>
    <x v="1"/>
    <n v="547"/>
  </r>
  <r>
    <n v="371"/>
    <x v="49"/>
    <x v="2"/>
    <n v="585"/>
  </r>
  <r>
    <n v="372"/>
    <x v="50"/>
    <x v="0"/>
    <n v="344"/>
  </r>
  <r>
    <n v="372"/>
    <x v="50"/>
    <x v="1"/>
    <n v="272"/>
  </r>
  <r>
    <n v="372"/>
    <x v="50"/>
    <x v="2"/>
    <n v="281"/>
  </r>
  <r>
    <n v="373"/>
    <x v="51"/>
    <x v="0"/>
    <n v="347"/>
  </r>
  <r>
    <n v="373"/>
    <x v="51"/>
    <x v="1"/>
    <n v="275"/>
  </r>
  <r>
    <n v="373"/>
    <x v="51"/>
    <x v="2"/>
    <n v="284"/>
  </r>
  <r>
    <n v="374"/>
    <x v="52"/>
    <x v="0"/>
    <n v="350"/>
  </r>
  <r>
    <n v="374"/>
    <x v="52"/>
    <x v="1"/>
    <n v="278"/>
  </r>
  <r>
    <n v="374"/>
    <x v="52"/>
    <x v="2"/>
    <n v="288"/>
  </r>
  <r>
    <n v="375"/>
    <x v="53"/>
    <x v="0"/>
    <n v="353"/>
  </r>
  <r>
    <n v="375"/>
    <x v="53"/>
    <x v="1"/>
    <n v="281"/>
  </r>
  <r>
    <n v="375"/>
    <x v="53"/>
    <x v="2"/>
    <n v="291"/>
  </r>
  <r>
    <n v="376"/>
    <x v="54"/>
    <x v="0"/>
    <n v="649"/>
  </r>
  <r>
    <n v="376"/>
    <x v="54"/>
    <x v="1"/>
    <n v="547"/>
  </r>
  <r>
    <n v="376"/>
    <x v="54"/>
    <x v="2"/>
    <n v="585"/>
  </r>
  <r>
    <n v="377"/>
    <x v="55"/>
    <x v="0"/>
    <n v="299"/>
  </r>
  <r>
    <n v="377"/>
    <x v="55"/>
    <x v="1"/>
    <n v="393"/>
  </r>
  <r>
    <n v="377"/>
    <x v="55"/>
    <x v="2"/>
    <n v="249"/>
  </r>
  <r>
    <n v="378"/>
    <x v="56"/>
    <x v="0"/>
    <n v="294"/>
  </r>
  <r>
    <n v="378"/>
    <x v="56"/>
    <x v="1"/>
    <n v="388"/>
  </r>
  <r>
    <n v="378"/>
    <x v="56"/>
    <x v="2"/>
    <n v="244"/>
  </r>
  <r>
    <n v="379"/>
    <x v="57"/>
    <x v="0"/>
    <n v="897"/>
  </r>
  <r>
    <n v="379"/>
    <x v="57"/>
    <x v="1"/>
    <n v="691"/>
  </r>
  <r>
    <n v="379"/>
    <x v="57"/>
    <x v="2"/>
    <n v="323"/>
  </r>
  <r>
    <n v="380"/>
    <x v="58"/>
    <x v="0"/>
    <n v="264"/>
  </r>
  <r>
    <n v="380"/>
    <x v="58"/>
    <x v="1"/>
    <n v="350"/>
  </r>
  <r>
    <n v="380"/>
    <x v="58"/>
    <x v="2"/>
    <n v="156"/>
  </r>
  <r>
    <n v="381"/>
    <x v="59"/>
    <x v="0"/>
    <n v="270"/>
  </r>
  <r>
    <n v="381"/>
    <x v="59"/>
    <x v="1"/>
    <n v="356"/>
  </r>
  <r>
    <n v="381"/>
    <x v="59"/>
    <x v="2"/>
    <n v="163"/>
  </r>
  <r>
    <n v="382"/>
    <x v="60"/>
    <x v="0"/>
    <n v="276"/>
  </r>
  <r>
    <n v="382"/>
    <x v="60"/>
    <x v="1"/>
    <n v="363"/>
  </r>
  <r>
    <n v="382"/>
    <x v="60"/>
    <x v="2"/>
    <n v="169"/>
  </r>
  <r>
    <n v="383"/>
    <x v="61"/>
    <x v="0"/>
    <n v="676"/>
  </r>
  <r>
    <n v="383"/>
    <x v="61"/>
    <x v="1"/>
    <n v="638"/>
  </r>
  <r>
    <n v="383"/>
    <x v="61"/>
    <x v="2"/>
    <n v="587"/>
  </r>
  <r>
    <n v="384"/>
    <x v="62"/>
    <x v="0"/>
    <n v="217"/>
  </r>
  <r>
    <n v="384"/>
    <x v="62"/>
    <x v="1"/>
    <n v="304"/>
  </r>
  <r>
    <n v="384"/>
    <x v="62"/>
    <x v="2"/>
    <n v="299"/>
  </r>
  <r>
    <n v="385"/>
    <x v="63"/>
    <x v="0"/>
    <n v="526"/>
  </r>
  <r>
    <n v="385"/>
    <x v="63"/>
    <x v="1"/>
    <n v="633"/>
  </r>
  <r>
    <n v="385"/>
    <x v="63"/>
    <x v="2"/>
    <n v="619"/>
  </r>
  <r>
    <n v="386"/>
    <x v="64"/>
    <x v="0"/>
    <n v="192"/>
  </r>
  <r>
    <n v="386"/>
    <x v="64"/>
    <x v="1"/>
    <n v="385"/>
  </r>
  <r>
    <n v="386"/>
    <x v="64"/>
    <x v="2"/>
    <n v="148"/>
  </r>
  <r>
    <n v="387"/>
    <x v="65"/>
    <x v="0"/>
    <n v="710"/>
  </r>
  <r>
    <n v="387"/>
    <x v="65"/>
    <x v="1"/>
    <n v="654"/>
  </r>
  <r>
    <n v="387"/>
    <x v="65"/>
    <x v="2"/>
    <n v="524"/>
  </r>
  <r>
    <n v="388"/>
    <x v="66"/>
    <x v="0"/>
    <n v="140"/>
  </r>
  <r>
    <n v="388"/>
    <x v="66"/>
    <x v="1"/>
    <n v="366"/>
  </r>
  <r>
    <n v="388"/>
    <x v="66"/>
    <x v="2"/>
    <n v="292"/>
  </r>
  <r>
    <n v="389"/>
    <x v="67"/>
    <x v="0"/>
    <n v="691"/>
  </r>
  <r>
    <n v="389"/>
    <x v="67"/>
    <x v="1"/>
    <n v="460"/>
  </r>
  <r>
    <n v="389"/>
    <x v="67"/>
    <x v="2"/>
    <n v="657"/>
  </r>
  <r>
    <n v="390"/>
    <x v="68"/>
    <x v="0"/>
    <n v="140"/>
  </r>
  <r>
    <n v="390"/>
    <x v="68"/>
    <x v="1"/>
    <n v="366"/>
  </r>
  <r>
    <n v="390"/>
    <x v="68"/>
    <x v="2"/>
    <n v="292"/>
  </r>
  <r>
    <n v="391"/>
    <x v="69"/>
    <x v="0"/>
    <n v="144"/>
  </r>
  <r>
    <n v="391"/>
    <x v="69"/>
    <x v="1"/>
    <n v="369"/>
  </r>
  <r>
    <n v="391"/>
    <x v="69"/>
    <x v="2"/>
    <n v="296"/>
  </r>
  <r>
    <n v="392"/>
    <x v="70"/>
    <x v="0"/>
    <n v="147"/>
  </r>
  <r>
    <n v="392"/>
    <x v="70"/>
    <x v="1"/>
    <n v="372"/>
  </r>
  <r>
    <n v="392"/>
    <x v="70"/>
    <x v="2"/>
    <n v="299"/>
  </r>
  <r>
    <n v="393"/>
    <x v="71"/>
    <x v="0"/>
    <n v="780"/>
  </r>
  <r>
    <n v="393"/>
    <x v="71"/>
    <x v="1"/>
    <n v="497"/>
  </r>
  <r>
    <n v="393"/>
    <x v="71"/>
    <x v="2"/>
    <n v="603"/>
  </r>
  <r>
    <n v="394"/>
    <x v="72"/>
    <x v="0"/>
    <n v="150"/>
  </r>
  <r>
    <n v="394"/>
    <x v="72"/>
    <x v="1"/>
    <n v="459"/>
  </r>
  <r>
    <n v="394"/>
    <x v="72"/>
    <x v="2"/>
    <n v="302"/>
  </r>
  <r>
    <n v="395"/>
    <x v="73"/>
    <x v="0"/>
    <n v="355"/>
  </r>
  <r>
    <n v="395"/>
    <x v="73"/>
    <x v="1"/>
    <n v="148"/>
  </r>
  <r>
    <n v="395"/>
    <x v="73"/>
    <x v="2"/>
    <n v="281"/>
  </r>
  <r>
    <n v="396"/>
    <x v="74"/>
    <x v="0"/>
    <n v="585"/>
  </r>
  <r>
    <n v="396"/>
    <x v="74"/>
    <x v="1"/>
    <n v="603"/>
  </r>
  <r>
    <n v="396"/>
    <x v="74"/>
    <x v="2"/>
    <n v="636"/>
  </r>
  <r>
    <n v="397"/>
    <x v="75"/>
    <x v="0"/>
    <n v="550"/>
  </r>
  <r>
    <n v="397"/>
    <x v="75"/>
    <x v="1"/>
    <n v="763"/>
  </r>
  <r>
    <n v="397"/>
    <x v="75"/>
    <x v="2"/>
    <n v="339"/>
  </r>
  <r>
    <n v="398"/>
    <x v="76"/>
    <x v="3"/>
    <n v="404"/>
  </r>
  <r>
    <n v="398"/>
    <x v="76"/>
    <x v="6"/>
    <n v="550"/>
  </r>
  <r>
    <n v="398"/>
    <x v="76"/>
    <x v="4"/>
    <n v="372"/>
  </r>
  <r>
    <n v="399"/>
    <x v="77"/>
    <x v="3"/>
    <n v="398"/>
  </r>
  <r>
    <n v="399"/>
    <x v="77"/>
    <x v="6"/>
    <n v="544"/>
  </r>
  <r>
    <n v="399"/>
    <x v="77"/>
    <x v="4"/>
    <n v="366"/>
  </r>
  <r>
    <n v="400"/>
    <x v="78"/>
    <x v="3"/>
    <n v="246"/>
  </r>
  <r>
    <n v="400"/>
    <x v="78"/>
    <x v="6"/>
    <n v="284"/>
  </r>
  <r>
    <n v="400"/>
    <x v="78"/>
    <x v="4"/>
    <n v="260"/>
  </r>
  <r>
    <n v="401"/>
    <x v="79"/>
    <x v="3"/>
    <n v="212"/>
  </r>
  <r>
    <n v="401"/>
    <x v="79"/>
    <x v="6"/>
    <n v="302"/>
  </r>
  <r>
    <n v="401"/>
    <x v="79"/>
    <x v="4"/>
    <n v="283"/>
  </r>
  <r>
    <n v="402"/>
    <x v="80"/>
    <x v="0"/>
    <n v="353"/>
  </r>
  <r>
    <n v="402"/>
    <x v="80"/>
    <x v="1"/>
    <n v="321"/>
  </r>
  <r>
    <n v="402"/>
    <x v="80"/>
    <x v="2"/>
    <n v="316"/>
  </r>
  <r>
    <n v="403"/>
    <x v="81"/>
    <x v="0"/>
    <n v="350"/>
  </r>
  <r>
    <n v="403"/>
    <x v="81"/>
    <x v="1"/>
    <n v="318"/>
  </r>
  <r>
    <n v="403"/>
    <x v="81"/>
    <x v="2"/>
    <n v="313"/>
  </r>
  <r>
    <n v="404"/>
    <x v="82"/>
    <x v="0"/>
    <n v="347"/>
  </r>
  <r>
    <n v="404"/>
    <x v="82"/>
    <x v="1"/>
    <n v="315"/>
  </r>
  <r>
    <n v="404"/>
    <x v="82"/>
    <x v="2"/>
    <n v="310"/>
  </r>
  <r>
    <n v="405"/>
    <x v="83"/>
    <x v="0"/>
    <n v="344"/>
  </r>
  <r>
    <n v="405"/>
    <x v="83"/>
    <x v="1"/>
    <n v="312"/>
  </r>
  <r>
    <n v="405"/>
    <x v="83"/>
    <x v="2"/>
    <n v="307"/>
  </r>
  <r>
    <n v="406"/>
    <x v="84"/>
    <x v="0"/>
    <n v="340"/>
  </r>
  <r>
    <n v="406"/>
    <x v="84"/>
    <x v="1"/>
    <n v="308"/>
  </r>
  <r>
    <n v="406"/>
    <x v="84"/>
    <x v="2"/>
    <n v="304"/>
  </r>
  <r>
    <n v="407"/>
    <x v="85"/>
    <x v="0"/>
    <n v="587"/>
  </r>
  <r>
    <n v="407"/>
    <x v="85"/>
    <x v="1"/>
    <n v="625"/>
  </r>
  <r>
    <n v="407"/>
    <x v="85"/>
    <x v="2"/>
    <n v="460"/>
  </r>
  <r>
    <n v="408"/>
    <x v="86"/>
    <x v="0"/>
    <n v="344"/>
  </r>
  <r>
    <n v="408"/>
    <x v="86"/>
    <x v="1"/>
    <n v="296"/>
  </r>
  <r>
    <n v="408"/>
    <x v="86"/>
    <x v="2"/>
    <n v="417"/>
  </r>
  <r>
    <n v="409"/>
    <x v="87"/>
    <x v="0"/>
    <n v="340"/>
  </r>
  <r>
    <n v="409"/>
    <x v="87"/>
    <x v="1"/>
    <n v="292"/>
  </r>
  <r>
    <n v="409"/>
    <x v="87"/>
    <x v="2"/>
    <n v="414"/>
  </r>
  <r>
    <n v="410"/>
    <x v="88"/>
    <x v="0"/>
    <n v="337"/>
  </r>
  <r>
    <n v="410"/>
    <x v="88"/>
    <x v="1"/>
    <n v="289"/>
  </r>
  <r>
    <n v="410"/>
    <x v="88"/>
    <x v="2"/>
    <n v="411"/>
  </r>
  <r>
    <n v="411"/>
    <x v="89"/>
    <x v="0"/>
    <n v="552"/>
  </r>
  <r>
    <n v="411"/>
    <x v="89"/>
    <x v="1"/>
    <n v="459"/>
  </r>
  <r>
    <n v="411"/>
    <x v="89"/>
    <x v="2"/>
    <n v="603"/>
  </r>
  <r>
    <n v="412"/>
    <x v="90"/>
    <x v="0"/>
    <n v="321"/>
  </r>
  <r>
    <n v="412"/>
    <x v="90"/>
    <x v="1"/>
    <n v="156"/>
  </r>
  <r>
    <n v="412"/>
    <x v="90"/>
    <x v="2"/>
    <n v="299"/>
  </r>
  <r>
    <n v="413"/>
    <x v="91"/>
    <x v="0"/>
    <n v="603"/>
  </r>
  <r>
    <n v="413"/>
    <x v="91"/>
    <x v="1"/>
    <n v="459"/>
  </r>
  <r>
    <n v="413"/>
    <x v="91"/>
    <x v="2"/>
    <n v="641"/>
  </r>
  <r>
    <n v="414"/>
    <x v="92"/>
    <x v="0"/>
    <n v="321"/>
  </r>
  <r>
    <n v="414"/>
    <x v="92"/>
    <x v="1"/>
    <n v="371"/>
  </r>
  <r>
    <n v="414"/>
    <x v="92"/>
    <x v="2"/>
    <n v="427"/>
  </r>
  <r>
    <n v="415"/>
    <x v="93"/>
    <x v="0"/>
    <n v="316"/>
  </r>
  <r>
    <n v="415"/>
    <x v="93"/>
    <x v="1"/>
    <n v="366"/>
  </r>
  <r>
    <n v="415"/>
    <x v="93"/>
    <x v="2"/>
    <n v="422"/>
  </r>
  <r>
    <n v="416"/>
    <x v="94"/>
    <x v="0"/>
    <n v="312"/>
  </r>
  <r>
    <n v="416"/>
    <x v="94"/>
    <x v="1"/>
    <n v="361"/>
  </r>
  <r>
    <n v="416"/>
    <x v="94"/>
    <x v="2"/>
    <n v="417"/>
  </r>
  <r>
    <n v="417"/>
    <x v="95"/>
    <x v="0"/>
    <n v="627"/>
  </r>
  <r>
    <n v="417"/>
    <x v="95"/>
    <x v="1"/>
    <n v="516"/>
  </r>
  <r>
    <n v="417"/>
    <x v="95"/>
    <x v="2"/>
    <n v="572"/>
  </r>
  <r>
    <n v="418"/>
    <x v="96"/>
    <x v="0"/>
    <n v="283"/>
  </r>
  <r>
    <n v="418"/>
    <x v="96"/>
    <x v="1"/>
    <n v="388"/>
  </r>
  <r>
    <n v="418"/>
    <x v="96"/>
    <x v="2"/>
    <n v="248"/>
  </r>
  <r>
    <n v="419"/>
    <x v="97"/>
    <x v="0"/>
    <n v="281"/>
  </r>
  <r>
    <n v="419"/>
    <x v="97"/>
    <x v="1"/>
    <n v="387"/>
  </r>
  <r>
    <n v="419"/>
    <x v="97"/>
    <x v="2"/>
    <n v="246"/>
  </r>
  <r>
    <n v="420"/>
    <x v="98"/>
    <x v="0"/>
    <n v="280"/>
  </r>
  <r>
    <n v="420"/>
    <x v="98"/>
    <x v="1"/>
    <n v="385"/>
  </r>
  <r>
    <n v="420"/>
    <x v="98"/>
    <x v="2"/>
    <n v="244"/>
  </r>
  <r>
    <n v="421"/>
    <x v="99"/>
    <x v="0"/>
    <n v="278"/>
  </r>
  <r>
    <n v="421"/>
    <x v="99"/>
    <x v="1"/>
    <n v="384"/>
  </r>
  <r>
    <n v="421"/>
    <x v="99"/>
    <x v="2"/>
    <n v="243"/>
  </r>
  <r>
    <n v="422"/>
    <x v="100"/>
    <x v="0"/>
    <n v="515"/>
  </r>
  <r>
    <n v="422"/>
    <x v="100"/>
    <x v="1"/>
    <n v="497"/>
  </r>
  <r>
    <n v="422"/>
    <x v="100"/>
    <x v="2"/>
    <n v="620"/>
  </r>
  <r>
    <n v="423"/>
    <x v="101"/>
    <x v="0"/>
    <n v="513"/>
  </r>
  <r>
    <n v="423"/>
    <x v="101"/>
    <x v="1"/>
    <n v="496"/>
  </r>
  <r>
    <n v="423"/>
    <x v="101"/>
    <x v="2"/>
    <n v="619"/>
  </r>
  <r>
    <n v="424"/>
    <x v="102"/>
    <x v="0"/>
    <n v="512"/>
  </r>
  <r>
    <n v="424"/>
    <x v="102"/>
    <x v="1"/>
    <n v="494"/>
  </r>
  <r>
    <n v="424"/>
    <x v="102"/>
    <x v="2"/>
    <n v="617"/>
  </r>
  <r>
    <n v="425"/>
    <x v="103"/>
    <x v="0"/>
    <n v="510"/>
  </r>
  <r>
    <n v="425"/>
    <x v="103"/>
    <x v="1"/>
    <n v="492"/>
  </r>
  <r>
    <n v="425"/>
    <x v="103"/>
    <x v="2"/>
    <n v="616"/>
  </r>
  <r>
    <n v="426"/>
    <x v="104"/>
    <x v="0"/>
    <n v="508"/>
  </r>
  <r>
    <n v="426"/>
    <x v="104"/>
    <x v="1"/>
    <n v="491"/>
  </r>
  <r>
    <n v="426"/>
    <x v="104"/>
    <x v="2"/>
    <n v="614"/>
  </r>
  <r>
    <n v="427"/>
    <x v="105"/>
    <x v="0"/>
    <n v="507"/>
  </r>
  <r>
    <n v="427"/>
    <x v="105"/>
    <x v="1"/>
    <n v="489"/>
  </r>
  <r>
    <n v="427"/>
    <x v="105"/>
    <x v="2"/>
    <n v="612"/>
  </r>
  <r>
    <n v="428"/>
    <x v="106"/>
    <x v="0"/>
    <n v="505"/>
  </r>
  <r>
    <n v="428"/>
    <x v="106"/>
    <x v="1"/>
    <n v="488"/>
  </r>
  <r>
    <n v="428"/>
    <x v="106"/>
    <x v="2"/>
    <n v="611"/>
  </r>
  <r>
    <n v="429"/>
    <x v="107"/>
    <x v="0"/>
    <n v="504"/>
  </r>
  <r>
    <n v="429"/>
    <x v="107"/>
    <x v="1"/>
    <n v="486"/>
  </r>
  <r>
    <n v="429"/>
    <x v="107"/>
    <x v="2"/>
    <n v="609"/>
  </r>
  <r>
    <n v="430"/>
    <x v="108"/>
    <x v="0"/>
    <n v="502"/>
  </r>
  <r>
    <n v="430"/>
    <x v="108"/>
    <x v="1"/>
    <n v="484"/>
  </r>
  <r>
    <n v="430"/>
    <x v="108"/>
    <x v="2"/>
    <n v="608"/>
  </r>
  <r>
    <n v="431"/>
    <x v="109"/>
    <x v="0"/>
    <n v="505"/>
  </r>
  <r>
    <n v="431"/>
    <x v="109"/>
    <x v="1"/>
    <n v="488"/>
  </r>
  <r>
    <n v="431"/>
    <x v="109"/>
    <x v="2"/>
    <n v="611"/>
  </r>
  <r>
    <n v="432"/>
    <x v="110"/>
    <x v="0"/>
    <n v="508"/>
  </r>
  <r>
    <n v="432"/>
    <x v="110"/>
    <x v="1"/>
    <n v="491"/>
  </r>
  <r>
    <n v="432"/>
    <x v="110"/>
    <x v="2"/>
    <n v="614"/>
  </r>
  <r>
    <n v="433"/>
    <x v="111"/>
    <x v="0"/>
    <n v="512"/>
  </r>
  <r>
    <n v="433"/>
    <x v="111"/>
    <x v="1"/>
    <n v="494"/>
  </r>
  <r>
    <n v="433"/>
    <x v="111"/>
    <x v="2"/>
    <n v="617"/>
  </r>
  <r>
    <n v="434"/>
    <x v="112"/>
    <x v="0"/>
    <n v="515"/>
  </r>
  <r>
    <n v="434"/>
    <x v="112"/>
    <x v="1"/>
    <n v="497"/>
  </r>
  <r>
    <n v="434"/>
    <x v="112"/>
    <x v="2"/>
    <n v="620"/>
  </r>
  <r>
    <n v="435"/>
    <x v="113"/>
    <x v="0"/>
    <n v="518"/>
  </r>
  <r>
    <n v="435"/>
    <x v="113"/>
    <x v="1"/>
    <n v="500"/>
  </r>
  <r>
    <n v="435"/>
    <x v="113"/>
    <x v="2"/>
    <n v="624"/>
  </r>
  <r>
    <n v="436"/>
    <x v="114"/>
    <x v="0"/>
    <n v="521"/>
  </r>
  <r>
    <n v="436"/>
    <x v="114"/>
    <x v="1"/>
    <n v="504"/>
  </r>
  <r>
    <n v="436"/>
    <x v="114"/>
    <x v="2"/>
    <n v="627"/>
  </r>
  <r>
    <n v="437"/>
    <x v="115"/>
    <x v="0"/>
    <n v="524"/>
  </r>
  <r>
    <n v="437"/>
    <x v="115"/>
    <x v="1"/>
    <n v="507"/>
  </r>
  <r>
    <n v="437"/>
    <x v="115"/>
    <x v="2"/>
    <n v="630"/>
  </r>
  <r>
    <n v="438"/>
    <x v="116"/>
    <x v="0"/>
    <n v="528"/>
  </r>
  <r>
    <n v="438"/>
    <x v="116"/>
    <x v="1"/>
    <n v="510"/>
  </r>
  <r>
    <n v="438"/>
    <x v="116"/>
    <x v="2"/>
    <n v="633"/>
  </r>
  <r>
    <n v="439"/>
    <x v="117"/>
    <x v="0"/>
    <n v="531"/>
  </r>
  <r>
    <n v="439"/>
    <x v="117"/>
    <x v="1"/>
    <n v="513"/>
  </r>
  <r>
    <n v="439"/>
    <x v="117"/>
    <x v="2"/>
    <n v="636"/>
  </r>
  <r>
    <n v="440"/>
    <x v="118"/>
    <x v="0"/>
    <n v="534"/>
  </r>
  <r>
    <n v="440"/>
    <x v="118"/>
    <x v="1"/>
    <n v="516"/>
  </r>
  <r>
    <n v="440"/>
    <x v="118"/>
    <x v="2"/>
    <n v="640"/>
  </r>
  <r>
    <n v="441"/>
    <x v="119"/>
    <x v="0"/>
    <n v="529"/>
  </r>
  <r>
    <n v="441"/>
    <x v="119"/>
    <x v="1"/>
    <n v="512"/>
  </r>
  <r>
    <n v="441"/>
    <x v="119"/>
    <x v="2"/>
    <n v="635"/>
  </r>
  <r>
    <n v="442"/>
    <x v="120"/>
    <x v="0"/>
    <n v="524"/>
  </r>
  <r>
    <n v="442"/>
    <x v="120"/>
    <x v="1"/>
    <n v="507"/>
  </r>
  <r>
    <n v="442"/>
    <x v="120"/>
    <x v="2"/>
    <n v="630"/>
  </r>
  <r>
    <n v="443"/>
    <x v="121"/>
    <x v="0"/>
    <n v="520"/>
  </r>
  <r>
    <n v="443"/>
    <x v="121"/>
    <x v="1"/>
    <n v="502"/>
  </r>
  <r>
    <n v="443"/>
    <x v="121"/>
    <x v="2"/>
    <n v="625"/>
  </r>
  <r>
    <n v="444"/>
    <x v="122"/>
    <x v="0"/>
    <n v="515"/>
  </r>
  <r>
    <n v="444"/>
    <x v="122"/>
    <x v="1"/>
    <n v="497"/>
  </r>
  <r>
    <n v="444"/>
    <x v="122"/>
    <x v="2"/>
    <n v="620"/>
  </r>
  <r>
    <n v="445"/>
    <x v="123"/>
    <x v="0"/>
    <n v="510"/>
  </r>
  <r>
    <n v="445"/>
    <x v="123"/>
    <x v="1"/>
    <n v="492"/>
  </r>
  <r>
    <n v="445"/>
    <x v="123"/>
    <x v="2"/>
    <n v="616"/>
  </r>
  <r>
    <n v="446"/>
    <x v="124"/>
    <x v="0"/>
    <n v="505"/>
  </r>
  <r>
    <n v="446"/>
    <x v="124"/>
    <x v="1"/>
    <n v="488"/>
  </r>
  <r>
    <n v="446"/>
    <x v="124"/>
    <x v="2"/>
    <n v="611"/>
  </r>
  <r>
    <n v="447"/>
    <x v="125"/>
    <x v="0"/>
    <n v="500"/>
  </r>
  <r>
    <n v="447"/>
    <x v="125"/>
    <x v="1"/>
    <n v="483"/>
  </r>
  <r>
    <n v="447"/>
    <x v="125"/>
    <x v="2"/>
    <n v="606"/>
  </r>
  <r>
    <n v="448"/>
    <x v="126"/>
    <x v="0"/>
    <n v="496"/>
  </r>
  <r>
    <n v="448"/>
    <x v="126"/>
    <x v="1"/>
    <n v="478"/>
  </r>
  <r>
    <n v="448"/>
    <x v="126"/>
    <x v="2"/>
    <n v="601"/>
  </r>
  <r>
    <n v="449"/>
    <x v="127"/>
    <x v="0"/>
    <n v="491"/>
  </r>
  <r>
    <n v="449"/>
    <x v="127"/>
    <x v="1"/>
    <n v="473"/>
  </r>
  <r>
    <n v="449"/>
    <x v="127"/>
    <x v="2"/>
    <n v="596"/>
  </r>
  <r>
    <n v="450"/>
    <x v="128"/>
    <x v="0"/>
    <n v="486"/>
  </r>
  <r>
    <n v="450"/>
    <x v="128"/>
    <x v="1"/>
    <n v="468"/>
  </r>
  <r>
    <n v="450"/>
    <x v="128"/>
    <x v="2"/>
    <n v="592"/>
  </r>
  <r>
    <n v="451"/>
    <x v="129"/>
    <x v="0"/>
    <n v="489"/>
  </r>
  <r>
    <n v="451"/>
    <x v="129"/>
    <x v="1"/>
    <n v="472"/>
  </r>
  <r>
    <n v="451"/>
    <x v="129"/>
    <x v="2"/>
    <n v="595"/>
  </r>
  <r>
    <n v="452"/>
    <x v="130"/>
    <x v="0"/>
    <n v="492"/>
  </r>
  <r>
    <n v="452"/>
    <x v="130"/>
    <x v="1"/>
    <n v="475"/>
  </r>
  <r>
    <n v="452"/>
    <x v="130"/>
    <x v="2"/>
    <n v="598"/>
  </r>
  <r>
    <n v="453"/>
    <x v="131"/>
    <x v="0"/>
    <n v="496"/>
  </r>
  <r>
    <n v="453"/>
    <x v="131"/>
    <x v="1"/>
    <n v="478"/>
  </r>
  <r>
    <n v="453"/>
    <x v="131"/>
    <x v="2"/>
    <n v="601"/>
  </r>
  <r>
    <n v="454"/>
    <x v="132"/>
    <x v="0"/>
    <n v="499"/>
  </r>
  <r>
    <n v="454"/>
    <x v="132"/>
    <x v="1"/>
    <n v="481"/>
  </r>
  <r>
    <n v="454"/>
    <x v="132"/>
    <x v="2"/>
    <n v="604"/>
  </r>
  <r>
    <n v="455"/>
    <x v="133"/>
    <x v="0"/>
    <n v="502"/>
  </r>
  <r>
    <n v="455"/>
    <x v="133"/>
    <x v="1"/>
    <n v="484"/>
  </r>
  <r>
    <n v="455"/>
    <x v="133"/>
    <x v="2"/>
    <n v="608"/>
  </r>
  <r>
    <n v="456"/>
    <x v="134"/>
    <x v="0"/>
    <n v="505"/>
  </r>
  <r>
    <n v="456"/>
    <x v="134"/>
    <x v="1"/>
    <n v="488"/>
  </r>
  <r>
    <n v="456"/>
    <x v="134"/>
    <x v="2"/>
    <n v="611"/>
  </r>
  <r>
    <n v="457"/>
    <x v="135"/>
    <x v="0"/>
    <n v="508"/>
  </r>
  <r>
    <n v="457"/>
    <x v="135"/>
    <x v="1"/>
    <n v="491"/>
  </r>
  <r>
    <n v="457"/>
    <x v="135"/>
    <x v="2"/>
    <n v="614"/>
  </r>
  <r>
    <n v="458"/>
    <x v="136"/>
    <x v="0"/>
    <n v="512"/>
  </r>
  <r>
    <n v="458"/>
    <x v="136"/>
    <x v="1"/>
    <n v="494"/>
  </r>
  <r>
    <n v="458"/>
    <x v="136"/>
    <x v="2"/>
    <n v="617"/>
  </r>
  <r>
    <n v="459"/>
    <x v="137"/>
    <x v="0"/>
    <n v="515"/>
  </r>
  <r>
    <n v="459"/>
    <x v="137"/>
    <x v="1"/>
    <n v="497"/>
  </r>
  <r>
    <n v="459"/>
    <x v="137"/>
    <x v="2"/>
    <n v="620"/>
  </r>
  <r>
    <n v="460"/>
    <x v="138"/>
    <x v="0"/>
    <n v="518"/>
  </r>
  <r>
    <n v="460"/>
    <x v="138"/>
    <x v="1"/>
    <n v="500"/>
  </r>
  <r>
    <n v="460"/>
    <x v="138"/>
    <x v="2"/>
    <n v="624"/>
  </r>
  <r>
    <n v="461"/>
    <x v="139"/>
    <x v="0"/>
    <n v="521"/>
  </r>
  <r>
    <n v="461"/>
    <x v="139"/>
    <x v="1"/>
    <n v="504"/>
  </r>
  <r>
    <n v="461"/>
    <x v="139"/>
    <x v="2"/>
    <n v="627"/>
  </r>
  <r>
    <n v="462"/>
    <x v="140"/>
    <x v="0"/>
    <n v="204"/>
  </r>
  <r>
    <n v="462"/>
    <x v="140"/>
    <x v="1"/>
    <n v="187"/>
  </r>
  <r>
    <n v="462"/>
    <x v="140"/>
    <x v="2"/>
    <n v="310"/>
  </r>
  <r>
    <n v="463"/>
    <x v="141"/>
    <x v="0"/>
    <n v="566"/>
  </r>
  <r>
    <n v="463"/>
    <x v="141"/>
    <x v="1"/>
    <n v="620"/>
  </r>
  <r>
    <n v="463"/>
    <x v="141"/>
    <x v="2"/>
    <n v="499"/>
  </r>
  <r>
    <n v="464"/>
    <x v="142"/>
    <x v="0"/>
    <n v="568"/>
  </r>
  <r>
    <n v="464"/>
    <x v="142"/>
    <x v="1"/>
    <n v="622"/>
  </r>
  <r>
    <n v="464"/>
    <x v="142"/>
    <x v="2"/>
    <n v="500"/>
  </r>
  <r>
    <n v="465"/>
    <x v="143"/>
    <x v="0"/>
    <n v="569"/>
  </r>
  <r>
    <n v="465"/>
    <x v="143"/>
    <x v="1"/>
    <n v="624"/>
  </r>
  <r>
    <n v="465"/>
    <x v="143"/>
    <x v="2"/>
    <n v="502"/>
  </r>
  <r>
    <n v="466"/>
    <x v="144"/>
    <x v="0"/>
    <n v="571"/>
  </r>
  <r>
    <n v="466"/>
    <x v="144"/>
    <x v="1"/>
    <n v="625"/>
  </r>
  <r>
    <n v="466"/>
    <x v="144"/>
    <x v="2"/>
    <n v="504"/>
  </r>
  <r>
    <n v="467"/>
    <x v="145"/>
    <x v="0"/>
    <n v="572"/>
  </r>
  <r>
    <n v="467"/>
    <x v="145"/>
    <x v="1"/>
    <n v="627"/>
  </r>
  <r>
    <n v="467"/>
    <x v="145"/>
    <x v="2"/>
    <n v="505"/>
  </r>
  <r>
    <n v="468"/>
    <x v="146"/>
    <x v="0"/>
    <n v="574"/>
  </r>
  <r>
    <n v="468"/>
    <x v="146"/>
    <x v="1"/>
    <n v="628"/>
  </r>
  <r>
    <n v="468"/>
    <x v="146"/>
    <x v="2"/>
    <n v="507"/>
  </r>
  <r>
    <n v="469"/>
    <x v="147"/>
    <x v="0"/>
    <n v="576"/>
  </r>
  <r>
    <n v="469"/>
    <x v="147"/>
    <x v="1"/>
    <n v="630"/>
  </r>
  <r>
    <n v="469"/>
    <x v="147"/>
    <x v="2"/>
    <n v="508"/>
  </r>
  <r>
    <n v="470"/>
    <x v="148"/>
    <x v="0"/>
    <n v="577"/>
  </r>
  <r>
    <n v="470"/>
    <x v="148"/>
    <x v="1"/>
    <n v="632"/>
  </r>
  <r>
    <n v="470"/>
    <x v="148"/>
    <x v="2"/>
    <n v="510"/>
  </r>
  <r>
    <n v="471"/>
    <x v="149"/>
    <x v="0"/>
    <n v="579"/>
  </r>
  <r>
    <n v="471"/>
    <x v="149"/>
    <x v="1"/>
    <n v="633"/>
  </r>
  <r>
    <n v="471"/>
    <x v="149"/>
    <x v="2"/>
    <n v="512"/>
  </r>
  <r>
    <n v="472"/>
    <x v="150"/>
    <x v="0"/>
    <n v="580"/>
  </r>
  <r>
    <n v="472"/>
    <x v="150"/>
    <x v="1"/>
    <n v="635"/>
  </r>
  <r>
    <n v="472"/>
    <x v="150"/>
    <x v="2"/>
    <n v="513"/>
  </r>
  <r>
    <n v="473"/>
    <x v="151"/>
    <x v="0"/>
    <n v="582"/>
  </r>
  <r>
    <n v="473"/>
    <x v="151"/>
    <x v="1"/>
    <n v="636"/>
  </r>
  <r>
    <n v="473"/>
    <x v="151"/>
    <x v="2"/>
    <n v="515"/>
  </r>
  <r>
    <n v="474"/>
    <x v="152"/>
    <x v="0"/>
    <n v="584"/>
  </r>
  <r>
    <n v="474"/>
    <x v="152"/>
    <x v="1"/>
    <n v="638"/>
  </r>
  <r>
    <n v="474"/>
    <x v="152"/>
    <x v="2"/>
    <n v="516"/>
  </r>
  <r>
    <n v="475"/>
    <x v="153"/>
    <x v="0"/>
    <n v="585"/>
  </r>
  <r>
    <n v="475"/>
    <x v="153"/>
    <x v="1"/>
    <n v="640"/>
  </r>
  <r>
    <n v="475"/>
    <x v="153"/>
    <x v="2"/>
    <n v="518"/>
  </r>
  <r>
    <n v="476"/>
    <x v="154"/>
    <x v="3"/>
    <n v="404"/>
  </r>
  <r>
    <n v="476"/>
    <x v="154"/>
    <x v="6"/>
    <n v="355"/>
  </r>
  <r>
    <n v="476"/>
    <x v="154"/>
    <x v="4"/>
    <n v="324"/>
  </r>
  <r>
    <n v="477"/>
    <x v="155"/>
    <x v="3"/>
    <n v="353"/>
  </r>
  <r>
    <n v="477"/>
    <x v="155"/>
    <x v="4"/>
    <n v="323"/>
  </r>
  <r>
    <n v="477"/>
    <x v="155"/>
    <x v="7"/>
    <n v="403"/>
  </r>
  <r>
    <n v="478"/>
    <x v="156"/>
    <x v="3"/>
    <n v="622"/>
  </r>
  <r>
    <n v="478"/>
    <x v="156"/>
    <x v="4"/>
    <n v="568"/>
  </r>
  <r>
    <n v="478"/>
    <x v="156"/>
    <x v="7"/>
    <n v="497"/>
  </r>
  <r>
    <n v="479"/>
    <x v="157"/>
    <x v="3"/>
    <n v="198"/>
  </r>
  <r>
    <n v="479"/>
    <x v="157"/>
    <x v="4"/>
    <n v="390"/>
  </r>
  <r>
    <n v="479"/>
    <x v="157"/>
    <x v="7"/>
    <n v="441"/>
  </r>
  <r>
    <n v="480"/>
    <x v="158"/>
    <x v="3"/>
    <n v="457"/>
  </r>
  <r>
    <n v="480"/>
    <x v="158"/>
    <x v="4"/>
    <n v="515"/>
  </r>
  <r>
    <n v="480"/>
    <x v="158"/>
    <x v="7"/>
    <n v="689"/>
  </r>
  <r>
    <n v="481"/>
    <x v="159"/>
    <x v="3"/>
    <n v="196"/>
  </r>
  <r>
    <n v="481"/>
    <x v="159"/>
    <x v="4"/>
    <n v="374"/>
  </r>
  <r>
    <n v="481"/>
    <x v="159"/>
    <x v="7"/>
    <n v="427"/>
  </r>
  <r>
    <n v="482"/>
    <x v="160"/>
    <x v="3"/>
    <n v="176"/>
  </r>
  <r>
    <n v="482"/>
    <x v="160"/>
    <x v="4"/>
    <n v="427"/>
  </r>
  <r>
    <n v="482"/>
    <x v="160"/>
    <x v="7"/>
    <n v="321"/>
  </r>
  <r>
    <n v="483"/>
    <x v="161"/>
    <x v="3"/>
    <n v="459"/>
  </r>
  <r>
    <n v="483"/>
    <x v="161"/>
    <x v="4"/>
    <n v="531"/>
  </r>
  <r>
    <n v="483"/>
    <x v="161"/>
    <x v="7"/>
    <n v="691"/>
  </r>
  <r>
    <n v="484"/>
    <x v="162"/>
    <x v="3"/>
    <n v="196"/>
  </r>
  <r>
    <n v="484"/>
    <x v="162"/>
    <x v="4"/>
    <n v="374"/>
  </r>
  <r>
    <n v="484"/>
    <x v="162"/>
    <x v="7"/>
    <n v="427"/>
  </r>
  <r>
    <n v="485"/>
    <x v="163"/>
    <x v="3"/>
    <n v="176"/>
  </r>
  <r>
    <n v="485"/>
    <x v="163"/>
    <x v="4"/>
    <n v="427"/>
  </r>
  <r>
    <n v="485"/>
    <x v="163"/>
    <x v="7"/>
    <n v="321"/>
  </r>
  <r>
    <n v="486"/>
    <x v="164"/>
    <x v="3"/>
    <n v="457"/>
  </r>
  <r>
    <n v="486"/>
    <x v="164"/>
    <x v="4"/>
    <n v="515"/>
  </r>
  <r>
    <n v="486"/>
    <x v="164"/>
    <x v="7"/>
    <n v="689"/>
  </r>
  <r>
    <n v="487"/>
    <x v="165"/>
    <x v="3"/>
    <n v="324"/>
  </r>
  <r>
    <n v="487"/>
    <x v="165"/>
    <x v="4"/>
    <n v="337"/>
  </r>
  <r>
    <n v="487"/>
    <x v="165"/>
    <x v="7"/>
    <n v="331"/>
  </r>
  <r>
    <n v="488"/>
    <x v="166"/>
    <x v="3"/>
    <n v="305"/>
  </r>
  <r>
    <n v="488"/>
    <x v="166"/>
    <x v="4"/>
    <n v="318"/>
  </r>
  <r>
    <n v="488"/>
    <x v="166"/>
    <x v="7"/>
    <n v="312"/>
  </r>
  <r>
    <n v="489"/>
    <x v="167"/>
    <x v="0"/>
    <n v="619"/>
  </r>
  <r>
    <n v="489"/>
    <x v="167"/>
    <x v="1"/>
    <n v="606"/>
  </r>
  <r>
    <n v="489"/>
    <x v="167"/>
    <x v="2"/>
    <n v="612"/>
  </r>
  <r>
    <n v="490"/>
    <x v="168"/>
    <x v="0"/>
    <n v="600"/>
  </r>
  <r>
    <n v="490"/>
    <x v="168"/>
    <x v="1"/>
    <n v="587"/>
  </r>
  <r>
    <n v="490"/>
    <x v="168"/>
    <x v="2"/>
    <n v="593"/>
  </r>
  <r>
    <n v="491"/>
    <x v="169"/>
    <x v="0"/>
    <n v="420"/>
  </r>
  <r>
    <n v="491"/>
    <x v="169"/>
    <x v="1"/>
    <n v="248"/>
  </r>
  <r>
    <n v="491"/>
    <x v="169"/>
    <x v="2"/>
    <n v="254"/>
  </r>
  <r>
    <n v="492"/>
    <x v="170"/>
    <x v="8"/>
    <n v="16"/>
  </r>
  <r>
    <n v="492"/>
    <x v="170"/>
    <x v="9"/>
    <n v="17"/>
  </r>
  <r>
    <n v="492"/>
    <x v="170"/>
    <x v="10"/>
    <n v="14"/>
  </r>
  <r>
    <n v="493"/>
    <x v="171"/>
    <x v="8"/>
    <n v="28"/>
  </r>
  <r>
    <n v="493"/>
    <x v="171"/>
    <x v="9"/>
    <n v="41"/>
  </r>
  <r>
    <n v="493"/>
    <x v="171"/>
    <x v="10"/>
    <n v="24"/>
  </r>
  <r>
    <n v="494"/>
    <x v="172"/>
    <x v="8"/>
    <n v="4"/>
  </r>
  <r>
    <n v="494"/>
    <x v="172"/>
    <x v="9"/>
    <n v="49"/>
  </r>
  <r>
    <n v="494"/>
    <x v="172"/>
    <x v="10"/>
    <n v="12"/>
  </r>
  <r>
    <n v="495"/>
    <x v="173"/>
    <x v="8"/>
    <n v="25"/>
  </r>
  <r>
    <n v="495"/>
    <x v="173"/>
    <x v="9"/>
    <n v="49"/>
  </r>
  <r>
    <n v="495"/>
    <x v="173"/>
    <x v="10"/>
    <n v="35"/>
  </r>
  <r>
    <n v="496"/>
    <x v="174"/>
    <x v="8"/>
    <n v="44"/>
  </r>
  <r>
    <n v="496"/>
    <x v="174"/>
    <x v="9"/>
    <n v="30"/>
  </r>
  <r>
    <n v="496"/>
    <x v="174"/>
    <x v="10"/>
    <n v="25"/>
  </r>
  <r>
    <n v="497"/>
    <x v="175"/>
    <x v="0"/>
    <n v="364"/>
  </r>
  <r>
    <n v="497"/>
    <x v="175"/>
    <x v="1"/>
    <n v="273"/>
  </r>
  <r>
    <n v="497"/>
    <x v="175"/>
    <x v="2"/>
    <n v="336"/>
  </r>
  <r>
    <n v="504"/>
    <x v="176"/>
    <x v="0"/>
    <n v="372"/>
  </r>
  <r>
    <n v="504"/>
    <x v="176"/>
    <x v="1"/>
    <n v="320"/>
  </r>
  <r>
    <n v="504"/>
    <x v="176"/>
    <x v="2"/>
    <n v="392"/>
  </r>
  <r>
    <n v="505"/>
    <x v="177"/>
    <x v="0"/>
    <n v="299"/>
  </r>
  <r>
    <n v="505"/>
    <x v="177"/>
    <x v="1"/>
    <n v="283"/>
  </r>
  <r>
    <n v="505"/>
    <x v="177"/>
    <x v="2"/>
    <n v="388"/>
  </r>
  <r>
    <n v="506"/>
    <x v="178"/>
    <x v="0"/>
    <n v="390"/>
  </r>
  <r>
    <n v="506"/>
    <x v="178"/>
    <x v="1"/>
    <n v="121"/>
  </r>
  <r>
    <n v="506"/>
    <x v="178"/>
    <x v="2"/>
    <n v="316"/>
  </r>
  <r>
    <n v="507"/>
    <x v="179"/>
    <x v="0"/>
    <n v="673"/>
  </r>
  <r>
    <n v="507"/>
    <x v="179"/>
    <x v="1"/>
    <n v="542"/>
  </r>
  <r>
    <n v="508"/>
    <x v="180"/>
    <x v="0"/>
    <n v="681"/>
  </r>
  <r>
    <n v="508"/>
    <x v="180"/>
    <x v="1"/>
    <n v="550"/>
  </r>
  <r>
    <n v="509"/>
    <x v="181"/>
    <x v="0"/>
    <n v="689"/>
  </r>
  <r>
    <n v="509"/>
    <x v="181"/>
    <x v="1"/>
    <n v="558"/>
  </r>
  <r>
    <n v="510"/>
    <x v="182"/>
    <x v="0"/>
    <n v="406"/>
  </r>
  <r>
    <n v="510"/>
    <x v="182"/>
    <x v="1"/>
    <n v="316"/>
  </r>
  <r>
    <n v="511"/>
    <x v="183"/>
    <x v="0"/>
    <n v="390"/>
  </r>
  <r>
    <n v="511"/>
    <x v="183"/>
    <x v="1"/>
    <n v="350"/>
  </r>
  <r>
    <n v="512"/>
    <x v="184"/>
    <x v="0"/>
    <n v="334"/>
  </r>
  <r>
    <n v="512"/>
    <x v="184"/>
    <x v="1"/>
    <n v="281"/>
  </r>
  <r>
    <n v="513"/>
    <x v="185"/>
    <x v="0"/>
    <n v="640"/>
  </r>
  <r>
    <n v="513"/>
    <x v="185"/>
    <x v="1"/>
    <n v="724"/>
  </r>
  <r>
    <n v="514"/>
    <x v="186"/>
    <x v="5"/>
    <n v="212"/>
  </r>
  <r>
    <n v="514"/>
    <x v="186"/>
    <x v="0"/>
    <n v="267"/>
  </r>
  <r>
    <n v="514"/>
    <x v="186"/>
    <x v="1"/>
    <n v="318"/>
  </r>
  <r>
    <n v="515"/>
    <x v="187"/>
    <x v="5"/>
    <n v="214"/>
  </r>
  <r>
    <n v="515"/>
    <x v="187"/>
    <x v="0"/>
    <n v="268"/>
  </r>
  <r>
    <n v="515"/>
    <x v="187"/>
    <x v="1"/>
    <n v="320"/>
  </r>
  <r>
    <n v="516"/>
    <x v="188"/>
    <x v="5"/>
    <n v="216"/>
  </r>
  <r>
    <n v="516"/>
    <x v="188"/>
    <x v="0"/>
    <n v="270"/>
  </r>
  <r>
    <n v="516"/>
    <x v="188"/>
    <x v="1"/>
    <n v="321"/>
  </r>
  <r>
    <n v="517"/>
    <x v="189"/>
    <x v="5"/>
    <n v="217"/>
  </r>
  <r>
    <n v="517"/>
    <x v="189"/>
    <x v="0"/>
    <n v="272"/>
  </r>
  <r>
    <n v="517"/>
    <x v="189"/>
    <x v="1"/>
    <n v="323"/>
  </r>
  <r>
    <n v="518"/>
    <x v="190"/>
    <x v="5"/>
    <n v="219"/>
  </r>
  <r>
    <n v="518"/>
    <x v="190"/>
    <x v="0"/>
    <n v="273"/>
  </r>
  <r>
    <n v="518"/>
    <x v="190"/>
    <x v="1"/>
    <n v="324"/>
  </r>
  <r>
    <n v="519"/>
    <x v="191"/>
    <x v="5"/>
    <n v="220"/>
  </r>
  <r>
    <n v="519"/>
    <x v="191"/>
    <x v="0"/>
    <n v="275"/>
  </r>
  <r>
    <n v="519"/>
    <x v="191"/>
    <x v="1"/>
    <n v="326"/>
  </r>
  <r>
    <n v="520"/>
    <x v="192"/>
    <x v="5"/>
    <n v="222"/>
  </r>
  <r>
    <n v="520"/>
    <x v="192"/>
    <x v="0"/>
    <n v="276"/>
  </r>
  <r>
    <n v="520"/>
    <x v="192"/>
    <x v="1"/>
    <n v="328"/>
  </r>
  <r>
    <n v="521"/>
    <x v="193"/>
    <x v="5"/>
    <n v="224"/>
  </r>
  <r>
    <n v="521"/>
    <x v="193"/>
    <x v="0"/>
    <n v="278"/>
  </r>
  <r>
    <n v="521"/>
    <x v="193"/>
    <x v="1"/>
    <n v="329"/>
  </r>
  <r>
    <n v="522"/>
    <x v="194"/>
    <x v="5"/>
    <n v="225"/>
  </r>
  <r>
    <n v="522"/>
    <x v="194"/>
    <x v="0"/>
    <n v="280"/>
  </r>
  <r>
    <n v="522"/>
    <x v="194"/>
    <x v="1"/>
    <n v="331"/>
  </r>
  <r>
    <n v="523"/>
    <x v="195"/>
    <x v="5"/>
    <n v="139"/>
  </r>
  <r>
    <n v="523"/>
    <x v="195"/>
    <x v="0"/>
    <n v="164"/>
  </r>
  <r>
    <n v="523"/>
    <x v="195"/>
    <x v="1"/>
    <n v="209"/>
  </r>
  <r>
    <n v="524"/>
    <x v="196"/>
    <x v="5"/>
    <n v="107"/>
  </r>
  <r>
    <n v="524"/>
    <x v="196"/>
    <x v="0"/>
    <n v="124"/>
  </r>
  <r>
    <n v="524"/>
    <x v="196"/>
    <x v="1"/>
    <n v="228"/>
  </r>
  <r>
    <n v="525"/>
    <x v="197"/>
    <x v="0"/>
    <n v="644"/>
  </r>
  <r>
    <n v="525"/>
    <x v="197"/>
    <x v="1"/>
    <n v="619"/>
  </r>
  <r>
    <n v="526"/>
    <x v="198"/>
    <x v="0"/>
    <n v="587"/>
  </r>
  <r>
    <n v="526"/>
    <x v="198"/>
    <x v="1"/>
    <n v="624"/>
  </r>
  <r>
    <n v="527"/>
    <x v="199"/>
    <x v="0"/>
    <n v="888"/>
  </r>
  <r>
    <n v="527"/>
    <x v="199"/>
    <x v="1"/>
    <n v="702"/>
  </r>
  <r>
    <n v="528"/>
    <x v="200"/>
    <x v="5"/>
    <n v="729"/>
  </r>
  <r>
    <n v="528"/>
    <x v="200"/>
    <x v="0"/>
    <n v="924"/>
  </r>
  <r>
    <n v="529"/>
    <x v="201"/>
    <x v="5"/>
    <n v="371"/>
  </r>
  <r>
    <n v="529"/>
    <x v="201"/>
    <x v="0"/>
    <n v="425"/>
  </r>
  <r>
    <n v="530"/>
    <x v="202"/>
    <x v="5"/>
    <n v="444"/>
  </r>
  <r>
    <n v="530"/>
    <x v="202"/>
    <x v="0"/>
    <n v="336"/>
  </r>
  <r>
    <n v="531"/>
    <x v="203"/>
    <x v="5"/>
    <n v="374"/>
  </r>
  <r>
    <n v="531"/>
    <x v="203"/>
    <x v="0"/>
    <n v="427"/>
  </r>
  <r>
    <n v="532"/>
    <x v="204"/>
    <x v="5"/>
    <n v="542"/>
  </r>
  <r>
    <n v="532"/>
    <x v="204"/>
    <x v="0"/>
    <n v="715"/>
  </r>
  <r>
    <n v="533"/>
    <x v="205"/>
    <x v="5"/>
    <n v="388"/>
  </r>
  <r>
    <n v="533"/>
    <x v="205"/>
    <x v="0"/>
    <n v="443"/>
  </r>
  <r>
    <n v="534"/>
    <x v="206"/>
    <x v="0"/>
    <n v="379"/>
  </r>
  <r>
    <n v="534"/>
    <x v="206"/>
    <x v="1"/>
    <n v="278"/>
  </r>
  <r>
    <n v="535"/>
    <x v="207"/>
    <x v="0"/>
    <n v="427"/>
  </r>
  <r>
    <n v="535"/>
    <x v="207"/>
    <x v="1"/>
    <n v="409"/>
  </r>
  <r>
    <n v="679"/>
    <x v="208"/>
    <x v="0"/>
    <n v="136"/>
  </r>
  <r>
    <n v="679"/>
    <x v="208"/>
    <x v="1"/>
    <n v="121"/>
  </r>
  <r>
    <n v="679"/>
    <x v="208"/>
    <x v="2"/>
    <n v="164"/>
  </r>
  <r>
    <n v="707"/>
    <x v="209"/>
    <x v="11"/>
    <n v="288"/>
  </r>
  <r>
    <n v="708"/>
    <x v="210"/>
    <x v="11"/>
    <n v="324"/>
  </r>
  <r>
    <n v="709"/>
    <x v="211"/>
    <x v="11"/>
    <n v="180"/>
  </r>
  <r>
    <n v="710"/>
    <x v="212"/>
    <x v="11"/>
    <n v="216"/>
  </r>
  <r>
    <n v="711"/>
    <x v="213"/>
    <x v="11"/>
    <n v="216"/>
  </r>
  <r>
    <n v="712"/>
    <x v="214"/>
    <x v="11"/>
    <n v="288"/>
  </r>
  <r>
    <n v="713"/>
    <x v="215"/>
    <x v="11"/>
    <n v="144"/>
  </r>
  <r>
    <n v="714"/>
    <x v="216"/>
    <x v="11"/>
    <n v="180"/>
  </r>
  <r>
    <n v="715"/>
    <x v="217"/>
    <x v="11"/>
    <n v="216"/>
  </r>
  <r>
    <n v="716"/>
    <x v="218"/>
    <x v="11"/>
    <n v="252"/>
  </r>
  <r>
    <n v="747"/>
    <x v="219"/>
    <x v="12"/>
    <n v="148"/>
  </r>
  <r>
    <n v="747"/>
    <x v="219"/>
    <x v="5"/>
    <n v="137"/>
  </r>
  <r>
    <n v="747"/>
    <x v="219"/>
    <x v="3"/>
    <n v="121"/>
  </r>
  <r>
    <n v="747"/>
    <x v="219"/>
    <x v="6"/>
    <n v="161"/>
  </r>
  <r>
    <n v="747"/>
    <x v="219"/>
    <x v="8"/>
    <n v="107"/>
  </r>
  <r>
    <n v="747"/>
    <x v="219"/>
    <x v="1"/>
    <n v="160"/>
  </r>
  <r>
    <n v="748"/>
    <x v="220"/>
    <x v="12"/>
    <n v="132"/>
  </r>
  <r>
    <n v="748"/>
    <x v="220"/>
    <x v="5"/>
    <n v="121"/>
  </r>
  <r>
    <n v="748"/>
    <x v="220"/>
    <x v="3"/>
    <n v="105"/>
  </r>
  <r>
    <n v="748"/>
    <x v="220"/>
    <x v="6"/>
    <n v="145"/>
  </r>
  <r>
    <n v="748"/>
    <x v="220"/>
    <x v="13"/>
    <n v="91"/>
  </r>
  <r>
    <n v="748"/>
    <x v="220"/>
    <x v="1"/>
    <n v="144"/>
  </r>
  <r>
    <n v="749"/>
    <x v="221"/>
    <x v="5"/>
    <n v="60"/>
  </r>
  <r>
    <n v="749"/>
    <x v="221"/>
    <x v="11"/>
    <n v="73"/>
  </r>
  <r>
    <n v="750"/>
    <x v="222"/>
    <x v="5"/>
    <n v="121"/>
  </r>
  <r>
    <n v="750"/>
    <x v="222"/>
    <x v="11"/>
    <n v="102"/>
  </r>
  <r>
    <n v="751"/>
    <x v="223"/>
    <x v="5"/>
    <n v="108"/>
  </r>
  <r>
    <n v="751"/>
    <x v="223"/>
    <x v="11"/>
    <n v="32"/>
  </r>
  <r>
    <n v="752"/>
    <x v="224"/>
    <x v="5"/>
    <n v="76"/>
  </r>
  <r>
    <n v="752"/>
    <x v="224"/>
    <x v="11"/>
    <n v="52"/>
  </r>
  <r>
    <n v="753"/>
    <x v="225"/>
    <x v="5"/>
    <n v="51"/>
  </r>
  <r>
    <n v="753"/>
    <x v="225"/>
    <x v="11"/>
    <n v="112"/>
  </r>
  <r>
    <n v="754"/>
    <x v="226"/>
    <x v="5"/>
    <n v="83"/>
  </r>
  <r>
    <n v="754"/>
    <x v="226"/>
    <x v="11"/>
    <n v="65"/>
  </r>
  <r>
    <n v="755"/>
    <x v="227"/>
    <x v="5"/>
    <n v="62"/>
  </r>
  <r>
    <n v="755"/>
    <x v="227"/>
    <x v="11"/>
    <n v="75"/>
  </r>
  <r>
    <n v="756"/>
    <x v="228"/>
    <x v="5"/>
    <n v="99"/>
  </r>
  <r>
    <n v="756"/>
    <x v="228"/>
    <x v="11"/>
    <n v="30"/>
  </r>
  <r>
    <n v="757"/>
    <x v="229"/>
    <x v="5"/>
    <n v="78"/>
  </r>
  <r>
    <n v="757"/>
    <x v="229"/>
    <x v="11"/>
    <n v="56"/>
  </r>
  <r>
    <n v="758"/>
    <x v="230"/>
    <x v="5"/>
    <n v="49"/>
  </r>
  <r>
    <n v="758"/>
    <x v="230"/>
    <x v="11"/>
    <n v="116"/>
  </r>
  <r>
    <n v="759"/>
    <x v="231"/>
    <x v="5"/>
    <n v="51"/>
  </r>
  <r>
    <n v="759"/>
    <x v="231"/>
    <x v="11"/>
    <n v="112"/>
  </r>
  <r>
    <n v="760"/>
    <x v="232"/>
    <x v="5"/>
    <n v="86"/>
  </r>
  <r>
    <n v="760"/>
    <x v="232"/>
    <x v="11"/>
    <n v="99"/>
  </r>
  <r>
    <n v="761"/>
    <x v="233"/>
    <x v="5"/>
    <n v="81"/>
  </r>
  <r>
    <n v="761"/>
    <x v="233"/>
    <x v="11"/>
    <n v="67"/>
  </r>
  <r>
    <n v="762"/>
    <x v="234"/>
    <x v="5"/>
    <n v="62"/>
  </r>
  <r>
    <n v="762"/>
    <x v="234"/>
    <x v="11"/>
    <n v="75"/>
  </r>
  <r>
    <n v="763"/>
    <x v="235"/>
    <x v="5"/>
    <n v="121"/>
  </r>
  <r>
    <n v="763"/>
    <x v="235"/>
    <x v="11"/>
    <n v="102"/>
  </r>
  <r>
    <n v="764"/>
    <x v="236"/>
    <x v="5"/>
    <n v="108"/>
  </r>
  <r>
    <n v="764"/>
    <x v="236"/>
    <x v="11"/>
    <n v="32"/>
  </r>
  <r>
    <n v="765"/>
    <x v="237"/>
    <x v="5"/>
    <n v="78"/>
  </r>
  <r>
    <n v="765"/>
    <x v="237"/>
    <x v="11"/>
    <n v="56"/>
  </r>
  <r>
    <n v="766"/>
    <x v="238"/>
    <x v="5"/>
    <n v="49"/>
  </r>
  <r>
    <n v="766"/>
    <x v="238"/>
    <x v="11"/>
    <n v="116"/>
  </r>
  <r>
    <n v="767"/>
    <x v="239"/>
    <x v="5"/>
    <n v="88"/>
  </r>
  <r>
    <n v="767"/>
    <x v="239"/>
    <x v="11"/>
    <n v="100"/>
  </r>
  <r>
    <n v="768"/>
    <x v="240"/>
    <x v="5"/>
    <n v="81"/>
  </r>
  <r>
    <n v="768"/>
    <x v="240"/>
    <x v="11"/>
    <n v="67"/>
  </r>
  <r>
    <n v="769"/>
    <x v="241"/>
    <x v="5"/>
    <n v="60"/>
  </r>
  <r>
    <n v="769"/>
    <x v="241"/>
    <x v="11"/>
    <n v="73"/>
  </r>
  <r>
    <n v="770"/>
    <x v="242"/>
    <x v="5"/>
    <n v="123"/>
  </r>
  <r>
    <n v="770"/>
    <x v="242"/>
    <x v="11"/>
    <n v="104"/>
  </r>
  <r>
    <n v="771"/>
    <x v="243"/>
    <x v="5"/>
    <n v="100"/>
  </r>
  <r>
    <n v="771"/>
    <x v="243"/>
    <x v="11"/>
    <n v="49"/>
  </r>
  <r>
    <n v="772"/>
    <x v="244"/>
    <x v="5"/>
    <n v="65"/>
  </r>
  <r>
    <n v="772"/>
    <x v="244"/>
    <x v="11"/>
    <n v="88"/>
  </r>
  <r>
    <n v="773"/>
    <x v="245"/>
    <x v="5"/>
    <n v="75"/>
  </r>
  <r>
    <n v="773"/>
    <x v="245"/>
    <x v="11"/>
    <n v="83"/>
  </r>
  <r>
    <n v="774"/>
    <x v="246"/>
    <x v="5"/>
    <n v="102"/>
  </r>
  <r>
    <n v="774"/>
    <x v="246"/>
    <x v="11"/>
    <n v="62"/>
  </r>
  <r>
    <n v="775"/>
    <x v="247"/>
    <x v="5"/>
    <n v="56"/>
  </r>
  <r>
    <n v="775"/>
    <x v="247"/>
    <x v="11"/>
    <n v="99"/>
  </r>
  <r>
    <n v="776"/>
    <x v="248"/>
    <x v="5"/>
    <n v="116"/>
  </r>
  <r>
    <n v="776"/>
    <x v="248"/>
    <x v="11"/>
    <n v="78"/>
  </r>
  <r>
    <n v="777"/>
    <x v="249"/>
    <x v="5"/>
    <n v="100"/>
  </r>
  <r>
    <n v="777"/>
    <x v="249"/>
    <x v="11"/>
    <n v="49"/>
  </r>
  <r>
    <n v="778"/>
    <x v="250"/>
    <x v="5"/>
    <n v="65"/>
  </r>
  <r>
    <n v="778"/>
    <x v="250"/>
    <x v="11"/>
    <n v="88"/>
  </r>
  <r>
    <n v="779"/>
    <x v="251"/>
    <x v="5"/>
    <n v="62"/>
  </r>
  <r>
    <n v="779"/>
    <x v="251"/>
    <x v="11"/>
    <n v="75"/>
  </r>
  <r>
    <n v="780"/>
    <x v="252"/>
    <x v="5"/>
    <n v="121"/>
  </r>
  <r>
    <n v="780"/>
    <x v="252"/>
    <x v="11"/>
    <n v="102"/>
  </r>
  <r>
    <n v="781"/>
    <x v="253"/>
    <x v="5"/>
    <n v="108"/>
  </r>
  <r>
    <n v="781"/>
    <x v="253"/>
    <x v="11"/>
    <n v="32"/>
  </r>
  <r>
    <n v="782"/>
    <x v="254"/>
    <x v="5"/>
    <n v="88"/>
  </r>
  <r>
    <n v="782"/>
    <x v="254"/>
    <x v="11"/>
    <n v="100"/>
  </r>
  <r>
    <n v="783"/>
    <x v="255"/>
    <x v="5"/>
    <n v="83"/>
  </r>
  <r>
    <n v="783"/>
    <x v="255"/>
    <x v="11"/>
    <n v="65"/>
  </r>
  <r>
    <n v="784"/>
    <x v="256"/>
    <x v="5"/>
    <n v="62"/>
  </r>
  <r>
    <n v="784"/>
    <x v="256"/>
    <x v="11"/>
    <n v="75"/>
  </r>
  <r>
    <n v="785"/>
    <x v="257"/>
    <x v="5"/>
    <n v="62"/>
  </r>
  <r>
    <n v="785"/>
    <x v="257"/>
    <x v="11"/>
    <n v="75"/>
  </r>
  <r>
    <n v="786"/>
    <x v="258"/>
    <x v="5"/>
    <n v="121"/>
  </r>
  <r>
    <n v="786"/>
    <x v="258"/>
    <x v="11"/>
    <n v="102"/>
  </r>
  <r>
    <n v="787"/>
    <x v="259"/>
    <x v="5"/>
    <n v="108"/>
  </r>
  <r>
    <n v="787"/>
    <x v="259"/>
    <x v="11"/>
    <n v="32"/>
  </r>
  <r>
    <n v="788"/>
    <x v="260"/>
    <x v="5"/>
    <n v="76"/>
  </r>
  <r>
    <n v="788"/>
    <x v="260"/>
    <x v="11"/>
    <n v="52"/>
  </r>
  <r>
    <n v="789"/>
    <x v="261"/>
    <x v="5"/>
    <n v="51"/>
  </r>
  <r>
    <n v="789"/>
    <x v="261"/>
    <x v="11"/>
    <n v="112"/>
  </r>
  <r>
    <n v="790"/>
    <x v="262"/>
    <x v="5"/>
    <n v="86"/>
  </r>
  <r>
    <n v="790"/>
    <x v="262"/>
    <x v="11"/>
    <n v="99"/>
  </r>
  <r>
    <n v="791"/>
    <x v="263"/>
    <x v="5"/>
    <n v="81"/>
  </r>
  <r>
    <n v="791"/>
    <x v="263"/>
    <x v="11"/>
    <n v="67"/>
  </r>
  <r>
    <n v="792"/>
    <x v="264"/>
    <x v="5"/>
    <n v="123"/>
  </r>
  <r>
    <n v="792"/>
    <x v="264"/>
    <x v="11"/>
    <n v="104"/>
  </r>
  <r>
    <n v="793"/>
    <x v="265"/>
    <x v="5"/>
    <n v="78"/>
  </r>
  <r>
    <n v="793"/>
    <x v="265"/>
    <x v="11"/>
    <n v="56"/>
  </r>
  <r>
    <n v="794"/>
    <x v="266"/>
    <x v="5"/>
    <n v="49"/>
  </r>
  <r>
    <n v="794"/>
    <x v="266"/>
    <x v="11"/>
    <n v="116"/>
  </r>
  <r>
    <n v="795"/>
    <x v="267"/>
    <x v="5"/>
    <n v="88"/>
  </r>
  <r>
    <n v="795"/>
    <x v="267"/>
    <x v="11"/>
    <n v="100"/>
  </r>
  <r>
    <n v="796"/>
    <x v="268"/>
    <x v="5"/>
    <n v="83"/>
  </r>
  <r>
    <n v="796"/>
    <x v="268"/>
    <x v="11"/>
    <n v="65"/>
  </r>
  <r>
    <n v="797"/>
    <x v="269"/>
    <x v="5"/>
    <n v="81"/>
  </r>
  <r>
    <n v="797"/>
    <x v="269"/>
    <x v="11"/>
    <n v="67"/>
  </r>
  <r>
    <n v="798"/>
    <x v="270"/>
    <x v="5"/>
    <n v="60"/>
  </r>
  <r>
    <n v="798"/>
    <x v="270"/>
    <x v="11"/>
    <n v="73"/>
  </r>
  <r>
    <n v="799"/>
    <x v="271"/>
    <x v="5"/>
    <n v="123"/>
  </r>
  <r>
    <n v="799"/>
    <x v="271"/>
    <x v="11"/>
    <n v="104"/>
  </r>
  <r>
    <n v="800"/>
    <x v="272"/>
    <x v="5"/>
    <n v="99"/>
  </r>
  <r>
    <n v="800"/>
    <x v="272"/>
    <x v="11"/>
    <n v="30"/>
  </r>
  <r>
    <n v="801"/>
    <x v="273"/>
    <x v="5"/>
    <n v="78"/>
  </r>
  <r>
    <n v="801"/>
    <x v="273"/>
    <x v="11"/>
    <n v="56"/>
  </r>
  <r>
    <n v="802"/>
    <x v="274"/>
    <x v="3"/>
    <n v="240"/>
  </r>
  <r>
    <n v="802"/>
    <x v="274"/>
    <x v="4"/>
    <n v="350"/>
  </r>
  <r>
    <n v="802"/>
    <x v="274"/>
    <x v="1"/>
    <n v="273"/>
  </r>
  <r>
    <n v="803"/>
    <x v="275"/>
    <x v="3"/>
    <n v="246"/>
  </r>
  <r>
    <n v="803"/>
    <x v="275"/>
    <x v="4"/>
    <n v="356"/>
  </r>
  <r>
    <n v="803"/>
    <x v="275"/>
    <x v="1"/>
    <n v="280"/>
  </r>
  <r>
    <n v="804"/>
    <x v="276"/>
    <x v="3"/>
    <n v="252"/>
  </r>
  <r>
    <n v="804"/>
    <x v="276"/>
    <x v="4"/>
    <n v="363"/>
  </r>
  <r>
    <n v="804"/>
    <x v="276"/>
    <x v="1"/>
    <n v="286"/>
  </r>
  <r>
    <n v="805"/>
    <x v="277"/>
    <x v="0"/>
    <n v="265"/>
  </r>
  <r>
    <n v="805"/>
    <x v="277"/>
    <x v="1"/>
    <n v="212"/>
  </r>
  <r>
    <n v="805"/>
    <x v="277"/>
    <x v="2"/>
    <n v="284"/>
  </r>
  <r>
    <n v="806"/>
    <x v="278"/>
    <x v="0"/>
    <n v="268"/>
  </r>
  <r>
    <n v="806"/>
    <x v="278"/>
    <x v="1"/>
    <n v="216"/>
  </r>
  <r>
    <n v="806"/>
    <x v="278"/>
    <x v="2"/>
    <n v="288"/>
  </r>
  <r>
    <n v="807"/>
    <x v="279"/>
    <x v="0"/>
    <n v="272"/>
  </r>
  <r>
    <n v="807"/>
    <x v="279"/>
    <x v="1"/>
    <n v="219"/>
  </r>
  <r>
    <n v="807"/>
    <x v="279"/>
    <x v="2"/>
    <n v="291"/>
  </r>
  <r>
    <n v="808"/>
    <x v="280"/>
    <x v="3"/>
    <n v="267"/>
  </r>
  <r>
    <n v="808"/>
    <x v="280"/>
    <x v="6"/>
    <n v="276"/>
  </r>
  <r>
    <n v="808"/>
    <x v="280"/>
    <x v="1"/>
    <n v="316"/>
  </r>
  <r>
    <n v="809"/>
    <x v="281"/>
    <x v="3"/>
    <n v="264"/>
  </r>
  <r>
    <n v="809"/>
    <x v="281"/>
    <x v="6"/>
    <n v="273"/>
  </r>
  <r>
    <n v="809"/>
    <x v="281"/>
    <x v="1"/>
    <n v="313"/>
  </r>
  <r>
    <n v="810"/>
    <x v="282"/>
    <x v="3"/>
    <n v="260"/>
  </r>
  <r>
    <n v="810"/>
    <x v="282"/>
    <x v="6"/>
    <n v="270"/>
  </r>
  <r>
    <n v="810"/>
    <x v="282"/>
    <x v="1"/>
    <n v="310"/>
  </r>
  <r>
    <n v="811"/>
    <x v="283"/>
    <x v="3"/>
    <n v="257"/>
  </r>
  <r>
    <n v="811"/>
    <x v="283"/>
    <x v="6"/>
    <n v="267"/>
  </r>
  <r>
    <n v="811"/>
    <x v="283"/>
    <x v="1"/>
    <n v="307"/>
  </r>
  <r>
    <n v="812"/>
    <x v="284"/>
    <x v="3"/>
    <n v="254"/>
  </r>
  <r>
    <n v="812"/>
    <x v="284"/>
    <x v="6"/>
    <n v="264"/>
  </r>
  <r>
    <n v="812"/>
    <x v="284"/>
    <x v="1"/>
    <n v="304"/>
  </r>
  <r>
    <n v="813"/>
    <x v="285"/>
    <x v="3"/>
    <n v="251"/>
  </r>
  <r>
    <n v="813"/>
    <x v="285"/>
    <x v="6"/>
    <n v="260"/>
  </r>
  <r>
    <n v="813"/>
    <x v="285"/>
    <x v="1"/>
    <n v="300"/>
  </r>
  <r>
    <n v="814"/>
    <x v="286"/>
    <x v="12"/>
    <n v="137"/>
  </r>
  <r>
    <n v="814"/>
    <x v="286"/>
    <x v="5"/>
    <n v="126"/>
  </r>
  <r>
    <n v="814"/>
    <x v="286"/>
    <x v="3"/>
    <n v="110"/>
  </r>
  <r>
    <n v="814"/>
    <x v="286"/>
    <x v="6"/>
    <n v="150"/>
  </r>
  <r>
    <n v="814"/>
    <x v="286"/>
    <x v="8"/>
    <n v="96"/>
  </r>
  <r>
    <n v="814"/>
    <x v="286"/>
    <x v="1"/>
    <n v="148"/>
  </r>
  <r>
    <n v="815"/>
    <x v="287"/>
    <x v="4"/>
    <n v="265"/>
  </r>
  <r>
    <n v="815"/>
    <x v="287"/>
    <x v="1"/>
    <n v="457"/>
  </r>
  <r>
    <n v="816"/>
    <x v="288"/>
    <x v="4"/>
    <n v="406"/>
  </r>
  <r>
    <n v="816"/>
    <x v="288"/>
    <x v="1"/>
    <n v="412"/>
  </r>
  <r>
    <n v="817"/>
    <x v="289"/>
    <x v="4"/>
    <n v="443"/>
  </r>
  <r>
    <n v="817"/>
    <x v="289"/>
    <x v="1"/>
    <n v="388"/>
  </r>
  <r>
    <n v="818"/>
    <x v="290"/>
    <x v="4"/>
    <n v="428"/>
  </r>
  <r>
    <n v="818"/>
    <x v="290"/>
    <x v="1"/>
    <n v="460"/>
  </r>
  <r>
    <n v="819"/>
    <x v="291"/>
    <x v="4"/>
    <n v="409"/>
  </r>
  <r>
    <n v="819"/>
    <x v="291"/>
    <x v="1"/>
    <n v="384"/>
  </r>
  <r>
    <n v="820"/>
    <x v="292"/>
    <x v="4"/>
    <n v="446"/>
  </r>
  <r>
    <n v="820"/>
    <x v="292"/>
    <x v="1"/>
    <n v="232"/>
  </r>
  <r>
    <n v="821"/>
    <x v="293"/>
    <x v="4"/>
    <n v="432"/>
  </r>
  <r>
    <n v="821"/>
    <x v="293"/>
    <x v="1"/>
    <n v="304"/>
  </r>
  <r>
    <n v="822"/>
    <x v="294"/>
    <x v="12"/>
    <n v="142"/>
  </r>
  <r>
    <n v="822"/>
    <x v="294"/>
    <x v="5"/>
    <n v="131"/>
  </r>
  <r>
    <n v="822"/>
    <x v="294"/>
    <x v="3"/>
    <n v="115"/>
  </r>
  <r>
    <n v="822"/>
    <x v="294"/>
    <x v="6"/>
    <n v="155"/>
  </r>
  <r>
    <n v="822"/>
    <x v="294"/>
    <x v="8"/>
    <n v="100"/>
  </r>
  <r>
    <n v="822"/>
    <x v="294"/>
    <x v="1"/>
    <n v="153"/>
  </r>
  <r>
    <n v="823"/>
    <x v="295"/>
    <x v="0"/>
    <n v="425"/>
  </r>
  <r>
    <n v="823"/>
    <x v="295"/>
    <x v="1"/>
    <n v="256"/>
  </r>
  <r>
    <n v="824"/>
    <x v="296"/>
    <x v="0"/>
    <n v="411"/>
  </r>
  <r>
    <n v="824"/>
    <x v="296"/>
    <x v="1"/>
    <n v="401"/>
  </r>
  <r>
    <n v="825"/>
    <x v="297"/>
    <x v="0"/>
    <n v="396"/>
  </r>
  <r>
    <n v="825"/>
    <x v="297"/>
    <x v="1"/>
    <n v="387"/>
  </r>
  <r>
    <n v="826"/>
    <x v="298"/>
    <x v="0"/>
    <n v="393"/>
  </r>
  <r>
    <n v="826"/>
    <x v="298"/>
    <x v="1"/>
    <n v="406"/>
  </r>
  <r>
    <n v="827"/>
    <x v="299"/>
    <x v="0"/>
    <n v="412"/>
  </r>
  <r>
    <n v="827"/>
    <x v="299"/>
    <x v="1"/>
    <n v="425"/>
  </r>
  <r>
    <n v="828"/>
    <x v="300"/>
    <x v="0"/>
    <n v="432"/>
  </r>
  <r>
    <n v="828"/>
    <x v="300"/>
    <x v="1"/>
    <n v="284"/>
  </r>
  <r>
    <n v="829"/>
    <x v="301"/>
    <x v="0"/>
    <n v="265"/>
  </r>
  <r>
    <n v="829"/>
    <x v="301"/>
    <x v="1"/>
    <n v="476"/>
  </r>
  <r>
    <n v="841"/>
    <x v="302"/>
    <x v="11"/>
    <n v="288"/>
  </r>
  <r>
    <n v="842"/>
    <x v="303"/>
    <x v="11"/>
    <n v="72"/>
  </r>
  <r>
    <n v="843"/>
    <x v="304"/>
    <x v="11"/>
    <n v="252"/>
  </r>
  <r>
    <n v="844"/>
    <x v="305"/>
    <x v="11"/>
    <n v="288"/>
  </r>
  <r>
    <n v="845"/>
    <x v="306"/>
    <x v="11"/>
    <n v="324"/>
  </r>
  <r>
    <n v="846"/>
    <x v="307"/>
    <x v="11"/>
    <n v="144"/>
  </r>
  <r>
    <n v="847"/>
    <x v="308"/>
    <x v="11"/>
    <n v="180"/>
  </r>
  <r>
    <n v="848"/>
    <x v="309"/>
    <x v="11"/>
    <n v="216"/>
  </r>
  <r>
    <n v="849"/>
    <x v="310"/>
    <x v="11"/>
    <n v="108"/>
  </r>
  <r>
    <n v="850"/>
    <x v="311"/>
    <x v="11"/>
    <n v="144"/>
  </r>
  <r>
    <n v="851"/>
    <x v="312"/>
    <x v="11"/>
    <n v="180"/>
  </r>
  <r>
    <n v="852"/>
    <x v="313"/>
    <x v="11"/>
    <n v="324"/>
  </r>
  <r>
    <n v="853"/>
    <x v="314"/>
    <x v="11"/>
    <n v="0"/>
  </r>
  <r>
    <n v="854"/>
    <x v="315"/>
    <x v="11"/>
    <n v="36"/>
  </r>
  <r>
    <n v="855"/>
    <x v="316"/>
    <x v="11"/>
    <n v="72"/>
  </r>
  <r>
    <n v="856"/>
    <x v="317"/>
    <x v="11"/>
    <n v="108"/>
  </r>
  <r>
    <n v="857"/>
    <x v="318"/>
    <x v="11"/>
    <n v="144"/>
  </r>
  <r>
    <n v="858"/>
    <x v="319"/>
    <x v="11"/>
    <n v="324"/>
  </r>
  <r>
    <n v="859"/>
    <x v="320"/>
    <x v="11"/>
    <n v="0"/>
  </r>
  <r>
    <n v="860"/>
    <x v="321"/>
    <x v="11"/>
    <n v="36"/>
  </r>
  <r>
    <n v="861"/>
    <x v="322"/>
    <x v="11"/>
    <n v="72"/>
  </r>
  <r>
    <n v="862"/>
    <x v="323"/>
    <x v="11"/>
    <n v="108"/>
  </r>
  <r>
    <n v="863"/>
    <x v="324"/>
    <x v="11"/>
    <n v="144"/>
  </r>
  <r>
    <n v="864"/>
    <x v="325"/>
    <x v="11"/>
    <n v="180"/>
  </r>
  <r>
    <n v="865"/>
    <x v="326"/>
    <x v="11"/>
    <n v="216"/>
  </r>
  <r>
    <n v="866"/>
    <x v="327"/>
    <x v="11"/>
    <n v="252"/>
  </r>
  <r>
    <n v="867"/>
    <x v="328"/>
    <x v="11"/>
    <n v="216"/>
  </r>
  <r>
    <n v="868"/>
    <x v="329"/>
    <x v="11"/>
    <n v="252"/>
  </r>
  <r>
    <n v="869"/>
    <x v="330"/>
    <x v="11"/>
    <n v="288"/>
  </r>
  <r>
    <n v="870"/>
    <x v="331"/>
    <x v="11"/>
    <n v="252"/>
  </r>
  <r>
    <n v="871"/>
    <x v="332"/>
    <x v="11"/>
    <n v="288"/>
  </r>
  <r>
    <n v="872"/>
    <x v="333"/>
    <x v="11"/>
    <n v="324"/>
  </r>
  <r>
    <n v="873"/>
    <x v="334"/>
    <x v="11"/>
    <n v="180"/>
  </r>
  <r>
    <n v="874"/>
    <x v="335"/>
    <x v="11"/>
    <n v="252"/>
  </r>
  <r>
    <n v="875"/>
    <x v="336"/>
    <x v="11"/>
    <n v="288"/>
  </r>
  <r>
    <n v="876"/>
    <x v="337"/>
    <x v="11"/>
    <n v="0"/>
  </r>
  <r>
    <n v="877"/>
    <x v="338"/>
    <x v="11"/>
    <n v="36"/>
  </r>
  <r>
    <n v="878"/>
    <x v="339"/>
    <x v="11"/>
    <n v="108"/>
  </r>
  <r>
    <n v="879"/>
    <x v="340"/>
    <x v="11"/>
    <n v="144"/>
  </r>
  <r>
    <n v="880"/>
    <x v="341"/>
    <x v="11"/>
    <n v="108"/>
  </r>
  <r>
    <n v="881"/>
    <x v="342"/>
    <x v="11"/>
    <n v="324"/>
  </r>
  <r>
    <n v="882"/>
    <x v="343"/>
    <x v="11"/>
    <n v="0"/>
  </r>
  <r>
    <n v="883"/>
    <x v="344"/>
    <x v="11"/>
    <n v="36"/>
  </r>
  <r>
    <n v="884"/>
    <x v="345"/>
    <x v="11"/>
    <n v="72"/>
  </r>
  <r>
    <n v="894"/>
    <x v="346"/>
    <x v="0"/>
    <n v="355"/>
  </r>
  <r>
    <n v="894"/>
    <x v="346"/>
    <x v="1"/>
    <n v="155"/>
  </r>
  <r>
    <n v="894"/>
    <x v="346"/>
    <x v="2"/>
    <n v="337"/>
  </r>
  <r>
    <n v="907"/>
    <x v="347"/>
    <x v="0"/>
    <n v="228"/>
  </r>
  <r>
    <n v="907"/>
    <x v="347"/>
    <x v="1"/>
    <n v="158"/>
  </r>
  <r>
    <n v="907"/>
    <x v="347"/>
    <x v="2"/>
    <n v="337"/>
  </r>
  <r>
    <n v="908"/>
    <x v="348"/>
    <x v="5"/>
    <n v="195"/>
  </r>
  <r>
    <n v="908"/>
    <x v="348"/>
    <x v="0"/>
    <n v="400"/>
  </r>
  <r>
    <n v="908"/>
    <x v="348"/>
    <x v="1"/>
    <n v="214"/>
  </r>
  <r>
    <n v="909"/>
    <x v="349"/>
    <x v="5"/>
    <n v="120"/>
  </r>
  <r>
    <n v="909"/>
    <x v="349"/>
    <x v="0"/>
    <n v="230"/>
  </r>
  <r>
    <n v="909"/>
    <x v="349"/>
    <x v="1"/>
    <n v="72"/>
  </r>
  <r>
    <n v="910"/>
    <x v="350"/>
    <x v="5"/>
    <n v="96"/>
  </r>
  <r>
    <n v="910"/>
    <x v="350"/>
    <x v="0"/>
    <n v="91"/>
  </r>
  <r>
    <n v="910"/>
    <x v="350"/>
    <x v="1"/>
    <n v="168"/>
  </r>
  <r>
    <n v="911"/>
    <x v="351"/>
    <x v="5"/>
    <n v="302"/>
  </r>
  <r>
    <n v="911"/>
    <x v="351"/>
    <x v="0"/>
    <n v="283"/>
  </r>
  <r>
    <n v="911"/>
    <x v="351"/>
    <x v="1"/>
    <n v="321"/>
  </r>
  <r>
    <n v="912"/>
    <x v="352"/>
    <x v="5"/>
    <n v="246"/>
  </r>
  <r>
    <n v="912"/>
    <x v="352"/>
    <x v="0"/>
    <n v="302"/>
  </r>
  <r>
    <n v="912"/>
    <x v="352"/>
    <x v="1"/>
    <n v="353"/>
  </r>
  <r>
    <n v="913"/>
    <x v="353"/>
    <x v="5"/>
    <n v="153"/>
  </r>
  <r>
    <n v="913"/>
    <x v="353"/>
    <x v="0"/>
    <n v="169"/>
  </r>
  <r>
    <n v="913"/>
    <x v="353"/>
    <x v="1"/>
    <n v="145"/>
  </r>
  <r>
    <n v="914"/>
    <x v="354"/>
    <x v="5"/>
    <n v="382"/>
  </r>
  <r>
    <n v="914"/>
    <x v="354"/>
    <x v="0"/>
    <n v="248"/>
  </r>
  <r>
    <n v="914"/>
    <x v="354"/>
    <x v="1"/>
    <n v="171"/>
  </r>
  <r>
    <n v="915"/>
    <x v="355"/>
    <x v="5"/>
    <n v="158"/>
  </r>
  <r>
    <n v="915"/>
    <x v="355"/>
    <x v="0"/>
    <n v="161"/>
  </r>
  <r>
    <n v="915"/>
    <x v="355"/>
    <x v="1"/>
    <n v="83"/>
  </r>
  <r>
    <n v="916"/>
    <x v="356"/>
    <x v="5"/>
    <n v="276"/>
  </r>
  <r>
    <n v="916"/>
    <x v="356"/>
    <x v="0"/>
    <n v="425"/>
  </r>
  <r>
    <n v="916"/>
    <x v="356"/>
    <x v="1"/>
    <n v="288"/>
  </r>
  <r>
    <n v="921"/>
    <x v="357"/>
    <x v="0"/>
    <n v="286"/>
  </r>
  <r>
    <n v="921"/>
    <x v="357"/>
    <x v="1"/>
    <n v="243"/>
  </r>
  <r>
    <n v="922"/>
    <x v="358"/>
    <x v="0"/>
    <n v="264"/>
  </r>
  <r>
    <n v="922"/>
    <x v="358"/>
    <x v="1"/>
    <n v="241"/>
  </r>
  <r>
    <n v="923"/>
    <x v="359"/>
    <x v="0"/>
    <n v="262"/>
  </r>
  <r>
    <n v="923"/>
    <x v="359"/>
    <x v="1"/>
    <n v="240"/>
  </r>
  <r>
    <n v="928"/>
    <x v="360"/>
    <x v="0"/>
    <n v="240"/>
  </r>
  <r>
    <n v="928"/>
    <x v="360"/>
    <x v="1"/>
    <n v="369"/>
  </r>
  <r>
    <n v="929"/>
    <x v="361"/>
    <x v="0"/>
    <n v="385"/>
  </r>
  <r>
    <n v="929"/>
    <x v="361"/>
    <x v="1"/>
    <n v="284"/>
  </r>
  <r>
    <n v="930"/>
    <x v="362"/>
    <x v="0"/>
    <n v="267"/>
  </r>
  <r>
    <n v="930"/>
    <x v="362"/>
    <x v="1"/>
    <n v="232"/>
  </r>
  <r>
    <n v="931"/>
    <x v="363"/>
    <x v="0"/>
    <n v="236"/>
  </r>
  <r>
    <n v="931"/>
    <x v="363"/>
    <x v="1"/>
    <n v="252"/>
  </r>
  <r>
    <n v="932"/>
    <x v="364"/>
    <x v="0"/>
    <n v="382"/>
  </r>
  <r>
    <n v="932"/>
    <x v="364"/>
    <x v="1"/>
    <n v="192"/>
  </r>
  <r>
    <n v="933"/>
    <x v="365"/>
    <x v="0"/>
    <n v="299"/>
  </r>
  <r>
    <n v="933"/>
    <x v="365"/>
    <x v="1"/>
    <n v="228"/>
  </r>
  <r>
    <n v="934"/>
    <x v="366"/>
    <x v="0"/>
    <n v="233"/>
  </r>
  <r>
    <n v="934"/>
    <x v="366"/>
    <x v="1"/>
    <n v="249"/>
  </r>
  <r>
    <n v="935"/>
    <x v="367"/>
    <x v="0"/>
    <n v="182"/>
  </r>
  <r>
    <n v="935"/>
    <x v="367"/>
    <x v="1"/>
    <n v="156"/>
  </r>
  <r>
    <n v="935"/>
    <x v="367"/>
    <x v="2"/>
    <n v="174"/>
  </r>
  <r>
    <n v="936"/>
    <x v="368"/>
    <x v="0"/>
    <n v="180"/>
  </r>
  <r>
    <n v="936"/>
    <x v="368"/>
    <x v="1"/>
    <n v="155"/>
  </r>
  <r>
    <n v="936"/>
    <x v="368"/>
    <x v="2"/>
    <n v="172"/>
  </r>
  <r>
    <n v="937"/>
    <x v="369"/>
    <x v="0"/>
    <n v="179"/>
  </r>
  <r>
    <n v="937"/>
    <x v="369"/>
    <x v="1"/>
    <n v="153"/>
  </r>
  <r>
    <n v="937"/>
    <x v="369"/>
    <x v="2"/>
    <n v="171"/>
  </r>
  <r>
    <n v="938"/>
    <x v="370"/>
    <x v="0"/>
    <n v="177"/>
  </r>
  <r>
    <n v="938"/>
    <x v="370"/>
    <x v="1"/>
    <n v="152"/>
  </r>
  <r>
    <n v="938"/>
    <x v="370"/>
    <x v="2"/>
    <n v="169"/>
  </r>
  <r>
    <n v="939"/>
    <x v="371"/>
    <x v="0"/>
    <n v="176"/>
  </r>
  <r>
    <n v="939"/>
    <x v="371"/>
    <x v="1"/>
    <n v="150"/>
  </r>
  <r>
    <n v="939"/>
    <x v="371"/>
    <x v="2"/>
    <n v="168"/>
  </r>
  <r>
    <n v="940"/>
    <x v="372"/>
    <x v="0"/>
    <n v="267"/>
  </r>
  <r>
    <n v="940"/>
    <x v="372"/>
    <x v="1"/>
    <n v="323"/>
  </r>
  <r>
    <n v="940"/>
    <x v="372"/>
    <x v="2"/>
    <n v="316"/>
  </r>
  <r>
    <n v="941"/>
    <x v="373"/>
    <x v="0"/>
    <n v="262"/>
  </r>
  <r>
    <n v="941"/>
    <x v="373"/>
    <x v="1"/>
    <n v="388"/>
  </r>
  <r>
    <n v="941"/>
    <x v="373"/>
    <x v="2"/>
    <n v="235"/>
  </r>
  <r>
    <n v="942"/>
    <x v="374"/>
    <x v="12"/>
    <n v="147"/>
  </r>
  <r>
    <n v="942"/>
    <x v="374"/>
    <x v="5"/>
    <n v="136"/>
  </r>
  <r>
    <n v="942"/>
    <x v="374"/>
    <x v="3"/>
    <n v="120"/>
  </r>
  <r>
    <n v="942"/>
    <x v="374"/>
    <x v="6"/>
    <n v="160"/>
  </r>
  <r>
    <n v="942"/>
    <x v="374"/>
    <x v="13"/>
    <n v="105"/>
  </r>
  <r>
    <n v="942"/>
    <x v="374"/>
    <x v="1"/>
    <n v="158"/>
  </r>
  <r>
    <n v="943"/>
    <x v="375"/>
    <x v="12"/>
    <n v="129"/>
  </r>
  <r>
    <n v="943"/>
    <x v="375"/>
    <x v="5"/>
    <n v="118"/>
  </r>
  <r>
    <n v="943"/>
    <x v="375"/>
    <x v="3"/>
    <n v="102"/>
  </r>
  <r>
    <n v="943"/>
    <x v="375"/>
    <x v="6"/>
    <n v="142"/>
  </r>
  <r>
    <n v="943"/>
    <x v="375"/>
    <x v="8"/>
    <n v="88"/>
  </r>
  <r>
    <n v="943"/>
    <x v="375"/>
    <x v="1"/>
    <n v="140"/>
  </r>
  <r>
    <n v="944"/>
    <x v="376"/>
    <x v="12"/>
    <n v="123"/>
  </r>
  <r>
    <n v="944"/>
    <x v="376"/>
    <x v="5"/>
    <n v="134"/>
  </r>
  <r>
    <n v="944"/>
    <x v="376"/>
    <x v="3"/>
    <n v="112"/>
  </r>
  <r>
    <n v="944"/>
    <x v="376"/>
    <x v="6"/>
    <n v="96"/>
  </r>
  <r>
    <n v="944"/>
    <x v="376"/>
    <x v="13"/>
    <n v="136"/>
  </r>
  <r>
    <n v="944"/>
    <x v="376"/>
    <x v="1"/>
    <n v="81"/>
  </r>
  <r>
    <n v="945"/>
    <x v="377"/>
    <x v="3"/>
    <n v="236"/>
  </r>
  <r>
    <n v="945"/>
    <x v="377"/>
    <x v="4"/>
    <n v="347"/>
  </r>
  <r>
    <n v="945"/>
    <x v="377"/>
    <x v="1"/>
    <n v="270"/>
  </r>
  <r>
    <n v="946"/>
    <x v="378"/>
    <x v="3"/>
    <n v="248"/>
  </r>
  <r>
    <n v="946"/>
    <x v="378"/>
    <x v="6"/>
    <n v="257"/>
  </r>
  <r>
    <n v="946"/>
    <x v="378"/>
    <x v="1"/>
    <n v="297"/>
  </r>
  <r>
    <n v="947"/>
    <x v="379"/>
    <x v="3"/>
    <n v="244"/>
  </r>
  <r>
    <n v="947"/>
    <x v="379"/>
    <x v="6"/>
    <n v="254"/>
  </r>
  <r>
    <n v="947"/>
    <x v="379"/>
    <x v="1"/>
    <n v="294"/>
  </r>
  <r>
    <n v="948"/>
    <x v="380"/>
    <x v="4"/>
    <n v="347"/>
  </r>
  <r>
    <n v="948"/>
    <x v="380"/>
    <x v="1"/>
    <n v="420"/>
  </r>
  <r>
    <n v="949"/>
    <x v="381"/>
    <x v="4"/>
    <n v="336"/>
  </r>
  <r>
    <n v="949"/>
    <x v="381"/>
    <x v="1"/>
    <n v="284"/>
  </r>
  <r>
    <n v="949"/>
    <x v="381"/>
    <x v="2"/>
    <n v="265"/>
  </r>
  <r>
    <n v="950"/>
    <x v="382"/>
    <x v="4"/>
    <n v="342"/>
  </r>
  <r>
    <n v="950"/>
    <x v="382"/>
    <x v="1"/>
    <n v="291"/>
  </r>
  <r>
    <n v="950"/>
    <x v="382"/>
    <x v="2"/>
    <n v="272"/>
  </r>
  <r>
    <n v="951"/>
    <x v="383"/>
    <x v="4"/>
    <n v="348"/>
  </r>
  <r>
    <n v="951"/>
    <x v="383"/>
    <x v="1"/>
    <n v="297"/>
  </r>
  <r>
    <n v="951"/>
    <x v="383"/>
    <x v="2"/>
    <n v="278"/>
  </r>
  <r>
    <n v="952"/>
    <x v="384"/>
    <x v="4"/>
    <n v="192"/>
  </r>
  <r>
    <n v="952"/>
    <x v="384"/>
    <x v="1"/>
    <n v="161"/>
  </r>
  <r>
    <n v="952"/>
    <x v="384"/>
    <x v="2"/>
    <n v="236"/>
  </r>
  <r>
    <n v="953"/>
    <x v="385"/>
    <x v="5"/>
    <n v="49"/>
  </r>
  <r>
    <n v="953"/>
    <x v="385"/>
    <x v="11"/>
    <n v="116"/>
  </r>
  <r>
    <n v="954"/>
    <x v="386"/>
    <x v="5"/>
    <n v="83"/>
  </r>
  <r>
    <n v="954"/>
    <x v="386"/>
    <x v="11"/>
    <n v="65"/>
  </r>
  <r>
    <n v="955"/>
    <x v="387"/>
    <x v="5"/>
    <n v="62"/>
  </r>
  <r>
    <n v="955"/>
    <x v="387"/>
    <x v="11"/>
    <n v="75"/>
  </r>
  <r>
    <n v="956"/>
    <x v="388"/>
    <x v="5"/>
    <n v="40"/>
  </r>
  <r>
    <n v="956"/>
    <x v="388"/>
    <x v="11"/>
    <n v="35"/>
  </r>
  <r>
    <n v="957"/>
    <x v="389"/>
    <x v="5"/>
    <n v="100"/>
  </r>
  <r>
    <n v="957"/>
    <x v="389"/>
    <x v="11"/>
    <n v="51"/>
  </r>
  <r>
    <n v="958"/>
    <x v="390"/>
    <x v="5"/>
    <n v="35"/>
  </r>
  <r>
    <n v="958"/>
    <x v="390"/>
    <x v="11"/>
    <n v="128"/>
  </r>
  <r>
    <n v="959"/>
    <x v="391"/>
    <x v="5"/>
    <n v="121"/>
  </r>
  <r>
    <n v="959"/>
    <x v="391"/>
    <x v="11"/>
    <n v="83"/>
  </r>
  <r>
    <n v="960"/>
    <x v="392"/>
    <x v="5"/>
    <n v="105"/>
  </r>
  <r>
    <n v="960"/>
    <x v="392"/>
    <x v="11"/>
    <n v="54"/>
  </r>
  <r>
    <n v="961"/>
    <x v="393"/>
    <x v="5"/>
    <n v="80"/>
  </r>
  <r>
    <n v="961"/>
    <x v="393"/>
    <x v="11"/>
    <n v="88"/>
  </r>
  <r>
    <n v="962"/>
    <x v="394"/>
    <x v="5"/>
    <n v="107"/>
  </r>
  <r>
    <n v="962"/>
    <x v="394"/>
    <x v="11"/>
    <n v="67"/>
  </r>
  <r>
    <n v="963"/>
    <x v="395"/>
    <x v="5"/>
    <n v="36"/>
  </r>
  <r>
    <n v="963"/>
    <x v="395"/>
    <x v="11"/>
    <n v="126"/>
  </r>
  <r>
    <n v="964"/>
    <x v="396"/>
    <x v="5"/>
    <n v="116"/>
  </r>
  <r>
    <n v="964"/>
    <x v="396"/>
    <x v="11"/>
    <n v="81"/>
  </r>
  <r>
    <n v="965"/>
    <x v="397"/>
    <x v="5"/>
    <n v="72"/>
  </r>
  <r>
    <n v="965"/>
    <x v="397"/>
    <x v="11"/>
    <n v="91"/>
  </r>
  <r>
    <n v="966"/>
    <x v="398"/>
    <x v="5"/>
    <n v="86"/>
  </r>
  <r>
    <n v="966"/>
    <x v="398"/>
    <x v="11"/>
    <n v="99"/>
  </r>
  <r>
    <n v="967"/>
    <x v="399"/>
    <x v="5"/>
    <n v="81"/>
  </r>
  <r>
    <n v="967"/>
    <x v="399"/>
    <x v="11"/>
    <n v="67"/>
  </r>
  <r>
    <n v="968"/>
    <x v="400"/>
    <x v="5"/>
    <n v="60"/>
  </r>
  <r>
    <n v="968"/>
    <x v="400"/>
    <x v="11"/>
    <n v="73"/>
  </r>
  <r>
    <n v="969"/>
    <x v="401"/>
    <x v="5"/>
    <n v="99"/>
  </r>
  <r>
    <n v="969"/>
    <x v="401"/>
    <x v="11"/>
    <n v="30"/>
  </r>
  <r>
    <n v="970"/>
    <x v="402"/>
    <x v="5"/>
    <n v="60"/>
  </r>
  <r>
    <n v="970"/>
    <x v="402"/>
    <x v="11"/>
    <n v="73"/>
  </r>
  <r>
    <n v="971"/>
    <x v="403"/>
    <x v="5"/>
    <n v="123"/>
  </r>
  <r>
    <n v="971"/>
    <x v="403"/>
    <x v="11"/>
    <n v="104"/>
  </r>
  <r>
    <n v="972"/>
    <x v="404"/>
    <x v="5"/>
    <n v="99"/>
  </r>
  <r>
    <n v="972"/>
    <x v="404"/>
    <x v="11"/>
    <n v="30"/>
  </r>
  <r>
    <n v="973"/>
    <x v="405"/>
    <x v="5"/>
    <n v="86"/>
  </r>
  <r>
    <n v="973"/>
    <x v="405"/>
    <x v="11"/>
    <n v="99"/>
  </r>
  <r>
    <n v="974"/>
    <x v="406"/>
    <x v="5"/>
    <n v="81"/>
  </r>
  <r>
    <n v="974"/>
    <x v="406"/>
    <x v="11"/>
    <n v="67"/>
  </r>
  <r>
    <n v="975"/>
    <x v="407"/>
    <x v="5"/>
    <n v="60"/>
  </r>
  <r>
    <n v="975"/>
    <x v="407"/>
    <x v="11"/>
    <n v="73"/>
  </r>
  <r>
    <n v="976"/>
    <x v="408"/>
    <x v="5"/>
    <n v="123"/>
  </r>
  <r>
    <n v="976"/>
    <x v="408"/>
    <x v="11"/>
    <n v="104"/>
  </r>
  <r>
    <n v="977"/>
    <x v="409"/>
    <x v="5"/>
    <n v="65"/>
  </r>
  <r>
    <n v="977"/>
    <x v="409"/>
    <x v="11"/>
    <n v="88"/>
  </r>
  <r>
    <n v="978"/>
    <x v="410"/>
    <x v="5"/>
    <n v="72"/>
  </r>
  <r>
    <n v="978"/>
    <x v="410"/>
    <x v="11"/>
    <n v="91"/>
  </r>
  <r>
    <n v="979"/>
    <x v="411"/>
    <x v="5"/>
    <n v="78"/>
  </r>
  <r>
    <n v="979"/>
    <x v="411"/>
    <x v="11"/>
    <n v="86"/>
  </r>
  <r>
    <n v="980"/>
    <x v="412"/>
    <x v="5"/>
    <n v="99"/>
  </r>
  <r>
    <n v="980"/>
    <x v="412"/>
    <x v="11"/>
    <n v="51"/>
  </r>
  <r>
    <n v="981"/>
    <x v="413"/>
    <x v="5"/>
    <n v="67"/>
  </r>
  <r>
    <n v="981"/>
    <x v="413"/>
    <x v="11"/>
    <n v="86"/>
  </r>
  <r>
    <n v="982"/>
    <x v="414"/>
    <x v="5"/>
    <n v="73"/>
  </r>
  <r>
    <n v="982"/>
    <x v="414"/>
    <x v="11"/>
    <n v="81"/>
  </r>
  <r>
    <n v="983"/>
    <x v="415"/>
    <x v="5"/>
    <n v="104"/>
  </r>
  <r>
    <n v="983"/>
    <x v="415"/>
    <x v="11"/>
    <n v="60"/>
  </r>
  <r>
    <n v="984"/>
    <x v="416"/>
    <x v="5"/>
    <n v="73"/>
  </r>
  <r>
    <n v="984"/>
    <x v="416"/>
    <x v="11"/>
    <n v="81"/>
  </r>
  <r>
    <n v="985"/>
    <x v="417"/>
    <x v="5"/>
    <n v="104"/>
  </r>
  <r>
    <n v="985"/>
    <x v="417"/>
    <x v="11"/>
    <n v="60"/>
  </r>
  <r>
    <n v="986"/>
    <x v="418"/>
    <x v="5"/>
    <n v="30"/>
  </r>
  <r>
    <n v="986"/>
    <x v="418"/>
    <x v="11"/>
    <n v="123"/>
  </r>
  <r>
    <n v="987"/>
    <x v="419"/>
    <x v="5"/>
    <n v="56"/>
  </r>
  <r>
    <n v="987"/>
    <x v="419"/>
    <x v="11"/>
    <n v="99"/>
  </r>
  <r>
    <n v="988"/>
    <x v="420"/>
    <x v="5"/>
    <n v="116"/>
  </r>
  <r>
    <n v="988"/>
    <x v="420"/>
    <x v="11"/>
    <n v="78"/>
  </r>
  <r>
    <n v="989"/>
    <x v="421"/>
    <x v="5"/>
    <n v="99"/>
  </r>
  <r>
    <n v="989"/>
    <x v="421"/>
    <x v="11"/>
    <n v="51"/>
  </r>
  <r>
    <n v="990"/>
    <x v="422"/>
    <x v="5"/>
    <n v="67"/>
  </r>
  <r>
    <n v="990"/>
    <x v="422"/>
    <x v="11"/>
    <n v="86"/>
  </r>
  <r>
    <n v="991"/>
    <x v="423"/>
    <x v="5"/>
    <n v="73"/>
  </r>
  <r>
    <n v="991"/>
    <x v="423"/>
    <x v="11"/>
    <n v="81"/>
  </r>
  <r>
    <n v="992"/>
    <x v="424"/>
    <x v="5"/>
    <n v="104"/>
  </r>
  <r>
    <n v="992"/>
    <x v="424"/>
    <x v="11"/>
    <n v="60"/>
  </r>
  <r>
    <n v="993"/>
    <x v="425"/>
    <x v="5"/>
    <n v="30"/>
  </r>
  <r>
    <n v="993"/>
    <x v="425"/>
    <x v="11"/>
    <n v="123"/>
  </r>
  <r>
    <n v="994"/>
    <x v="426"/>
    <x v="0"/>
    <n v="358"/>
  </r>
  <r>
    <n v="994"/>
    <x v="426"/>
    <x v="1"/>
    <n v="212"/>
  </r>
  <r>
    <n v="994"/>
    <x v="426"/>
    <x v="2"/>
    <n v="244"/>
  </r>
  <r>
    <n v="995"/>
    <x v="427"/>
    <x v="0"/>
    <n v="321"/>
  </r>
  <r>
    <n v="995"/>
    <x v="427"/>
    <x v="1"/>
    <n v="265"/>
  </r>
  <r>
    <n v="995"/>
    <x v="427"/>
    <x v="2"/>
    <n v="230"/>
  </r>
  <r>
    <n v="996"/>
    <x v="428"/>
    <x v="0"/>
    <n v="475"/>
  </r>
  <r>
    <n v="996"/>
    <x v="428"/>
    <x v="1"/>
    <n v="174"/>
  </r>
  <r>
    <n v="996"/>
    <x v="428"/>
    <x v="2"/>
    <n v="321"/>
  </r>
  <r>
    <n v="997"/>
    <x v="429"/>
    <x v="5"/>
    <n v="30"/>
  </r>
  <r>
    <n v="997"/>
    <x v="429"/>
    <x v="11"/>
    <n v="123"/>
  </r>
  <r>
    <n v="998"/>
    <x v="430"/>
    <x v="5"/>
    <n v="56"/>
  </r>
  <r>
    <n v="998"/>
    <x v="430"/>
    <x v="11"/>
    <n v="99"/>
  </r>
  <r>
    <n v="999"/>
    <x v="431"/>
    <x v="5"/>
    <n v="116"/>
  </r>
  <r>
    <n v="999"/>
    <x v="431"/>
    <x v="11"/>
    <n v="7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22997"/>
    <n v="9128"/>
    <x v="0"/>
  </r>
  <r>
    <x v="0"/>
    <x v="1"/>
    <n v="16063"/>
    <n v="15536"/>
    <x v="1"/>
  </r>
  <r>
    <x v="0"/>
    <x v="2"/>
    <n v="15016"/>
    <n v="5940"/>
    <x v="2"/>
  </r>
  <r>
    <x v="0"/>
    <x v="3"/>
    <n v="7583"/>
    <n v="47214"/>
    <x v="3"/>
  </r>
  <r>
    <x v="1"/>
    <x v="0"/>
    <n v="32153"/>
    <n v="9128"/>
    <x v="4"/>
  </r>
  <r>
    <x v="1"/>
    <x v="1"/>
    <n v="37748"/>
    <n v="15536"/>
    <x v="5"/>
  </r>
  <r>
    <x v="1"/>
    <x v="3"/>
    <n v="24707"/>
    <n v="47214"/>
    <x v="6"/>
  </r>
  <r>
    <x v="1"/>
    <x v="2"/>
    <n v="37180"/>
    <n v="5940"/>
    <x v="7"/>
  </r>
  <r>
    <x v="2"/>
    <x v="0"/>
    <n v="5750"/>
    <n v="9128"/>
    <x v="8"/>
  </r>
  <r>
    <x v="2"/>
    <x v="2"/>
    <n v="19228"/>
    <n v="5940"/>
    <x v="9"/>
  </r>
  <r>
    <x v="2"/>
    <x v="3"/>
    <n v="15107"/>
    <n v="47214"/>
    <x v="10"/>
  </r>
  <r>
    <x v="2"/>
    <x v="1"/>
    <n v="28494"/>
    <n v="15536"/>
    <x v="11"/>
  </r>
  <r>
    <x v="3"/>
    <x v="3"/>
    <n v="1647"/>
    <n v="47214"/>
    <x v="12"/>
  </r>
  <r>
    <x v="3"/>
    <x v="0"/>
    <n v="1032"/>
    <n v="9128"/>
    <x v="13"/>
  </r>
  <r>
    <x v="3"/>
    <x v="2"/>
    <n v="2246"/>
    <n v="5940"/>
    <x v="14"/>
  </r>
  <r>
    <x v="3"/>
    <x v="1"/>
    <n v="7963"/>
    <n v="15536"/>
    <x v="1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x v="0"/>
    <n v="-21"/>
    <n v="0.99736280296370716"/>
  </r>
  <r>
    <x v="0"/>
    <x v="1"/>
    <x v="1"/>
    <x v="1"/>
    <n v="81067"/>
    <n v="50.221007893139038"/>
  </r>
  <r>
    <x v="1"/>
    <x v="0"/>
    <x v="2"/>
    <x v="2"/>
    <n v="-2647"/>
    <n v="0.90710324980697687"/>
  </r>
  <r>
    <x v="1"/>
    <x v="1"/>
    <x v="3"/>
    <x v="3"/>
    <n v="266000"/>
    <n v="18.607731515191634"/>
  </r>
  <r>
    <x v="2"/>
    <x v="0"/>
    <x v="4"/>
    <x v="4"/>
    <n v="-41"/>
    <n v="0.99891384974038355"/>
  </r>
  <r>
    <x v="2"/>
    <x v="1"/>
    <x v="5"/>
    <x v="5"/>
    <n v="383972"/>
    <n v="16.54102076334642"/>
  </r>
  <r>
    <x v="3"/>
    <x v="0"/>
    <x v="6"/>
    <x v="6"/>
    <n v="2709"/>
    <n v="1.1686484467409575"/>
  </r>
  <r>
    <x v="3"/>
    <x v="1"/>
    <x v="7"/>
    <x v="7"/>
    <n v="190855"/>
    <n v="26.16879862851114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n v="1"/>
    <x v="0"/>
    <n v="1085"/>
    <n v="750"/>
    <x v="0"/>
  </r>
  <r>
    <n v="2"/>
    <x v="1"/>
    <n v="1109"/>
    <n v="750"/>
    <x v="0"/>
  </r>
  <r>
    <n v="3"/>
    <x v="2"/>
    <n v="1352"/>
    <n v="600"/>
    <x v="0"/>
  </r>
  <r>
    <n v="4"/>
    <x v="3"/>
    <n v="1322"/>
    <n v="600"/>
    <x v="0"/>
  </r>
  <r>
    <n v="316"/>
    <x v="4"/>
    <n v="1361"/>
    <n v="600"/>
    <x v="0"/>
  </r>
  <r>
    <n v="317"/>
    <x v="5"/>
    <n v="593"/>
    <n v="375"/>
    <x v="0"/>
  </r>
  <r>
    <n v="318"/>
    <x v="6"/>
    <n v="439"/>
    <n v="375"/>
    <x v="0"/>
  </r>
  <r>
    <n v="319"/>
    <x v="7"/>
    <n v="797"/>
    <n v="375"/>
    <x v="0"/>
  </r>
  <r>
    <n v="320"/>
    <x v="8"/>
    <n v="1136"/>
    <n v="750"/>
    <x v="0"/>
  </r>
  <r>
    <n v="321"/>
    <x v="9"/>
    <n v="1750"/>
    <n v="750"/>
    <x v="0"/>
  </r>
  <r>
    <n v="322"/>
    <x v="10"/>
    <n v="1684"/>
    <n v="750"/>
    <x v="0"/>
  </r>
  <r>
    <n v="323"/>
    <x v="11"/>
    <n v="1684"/>
    <n v="750"/>
    <x v="0"/>
  </r>
  <r>
    <n v="324"/>
    <x v="12"/>
    <n v="1629"/>
    <n v="750"/>
    <x v="0"/>
  </r>
  <r>
    <n v="325"/>
    <x v="13"/>
    <n v="1750"/>
    <n v="750"/>
    <x v="0"/>
  </r>
  <r>
    <n v="326"/>
    <x v="14"/>
    <n v="1684"/>
    <n v="750"/>
    <x v="0"/>
  </r>
  <r>
    <n v="327"/>
    <x v="15"/>
    <n v="1364"/>
    <n v="600"/>
    <x v="0"/>
  </r>
  <r>
    <n v="328"/>
    <x v="16"/>
    <n v="1629"/>
    <n v="750"/>
    <x v="0"/>
  </r>
  <r>
    <n v="329"/>
    <x v="17"/>
    <n v="1601"/>
    <n v="750"/>
    <x v="0"/>
  </r>
  <r>
    <n v="330"/>
    <x v="18"/>
    <n v="1571"/>
    <n v="750"/>
    <x v="0"/>
  </r>
  <r>
    <n v="331"/>
    <x v="19"/>
    <n v="1405"/>
    <n v="600"/>
    <x v="0"/>
  </r>
  <r>
    <n v="332"/>
    <x v="20"/>
    <n v="844"/>
    <n v="375"/>
    <x v="0"/>
  </r>
  <r>
    <n v="341"/>
    <x v="21"/>
    <n v="1103"/>
    <n v="750"/>
    <x v="0"/>
  </r>
  <r>
    <n v="342"/>
    <x v="22"/>
    <n v="1093"/>
    <n v="750"/>
    <x v="0"/>
  </r>
  <r>
    <n v="343"/>
    <x v="23"/>
    <n v="1673"/>
    <n v="750"/>
    <x v="0"/>
  </r>
  <r>
    <n v="344"/>
    <x v="24"/>
    <n v="1072"/>
    <n v="750"/>
    <x v="0"/>
  </r>
  <r>
    <n v="345"/>
    <x v="25"/>
    <n v="936"/>
    <n v="750"/>
    <x v="0"/>
  </r>
  <r>
    <n v="346"/>
    <x v="26"/>
    <n v="1702"/>
    <n v="750"/>
    <x v="0"/>
  </r>
  <r>
    <n v="347"/>
    <x v="27"/>
    <n v="896"/>
    <n v="750"/>
    <x v="0"/>
  </r>
  <r>
    <n v="348"/>
    <x v="28"/>
    <n v="911"/>
    <n v="750"/>
    <x v="0"/>
  </r>
  <r>
    <n v="349"/>
    <x v="29"/>
    <n v="926"/>
    <n v="750"/>
    <x v="0"/>
  </r>
  <r>
    <n v="350"/>
    <x v="30"/>
    <n v="1341"/>
    <n v="600"/>
    <x v="0"/>
  </r>
  <r>
    <n v="351"/>
    <x v="31"/>
    <n v="605"/>
    <n v="600"/>
    <x v="0"/>
  </r>
  <r>
    <n v="352"/>
    <x v="32"/>
    <n v="773"/>
    <n v="600"/>
    <x v="0"/>
  </r>
  <r>
    <n v="355"/>
    <x v="33"/>
    <n v="822"/>
    <n v="600"/>
    <x v="0"/>
  </r>
  <r>
    <n v="356"/>
    <x v="34"/>
    <n v="780"/>
    <n v="600"/>
    <x v="0"/>
  </r>
  <r>
    <n v="357"/>
    <x v="35"/>
    <n v="736"/>
    <n v="600"/>
    <x v="0"/>
  </r>
  <r>
    <n v="358"/>
    <x v="36"/>
    <n v="693"/>
    <n v="600"/>
    <x v="0"/>
  </r>
  <r>
    <n v="359"/>
    <x v="37"/>
    <n v="1103"/>
    <n v="750"/>
    <x v="0"/>
  </r>
  <r>
    <n v="360"/>
    <x v="38"/>
    <n v="1084"/>
    <n v="750"/>
    <x v="0"/>
  </r>
  <r>
    <n v="361"/>
    <x v="39"/>
    <n v="1631"/>
    <n v="750"/>
    <x v="0"/>
  </r>
  <r>
    <n v="362"/>
    <x v="40"/>
    <n v="1026"/>
    <n v="750"/>
    <x v="0"/>
  </r>
  <r>
    <n v="363"/>
    <x v="41"/>
    <n v="1761"/>
    <n v="750"/>
    <x v="0"/>
  </r>
  <r>
    <n v="364"/>
    <x v="42"/>
    <n v="1052"/>
    <n v="750"/>
    <x v="0"/>
  </r>
  <r>
    <n v="365"/>
    <x v="43"/>
    <n v="1721"/>
    <n v="750"/>
    <x v="0"/>
  </r>
  <r>
    <n v="366"/>
    <x v="44"/>
    <n v="1029"/>
    <n v="750"/>
    <x v="0"/>
  </r>
  <r>
    <n v="367"/>
    <x v="45"/>
    <n v="1901"/>
    <n v="750"/>
    <x v="0"/>
  </r>
  <r>
    <n v="368"/>
    <x v="46"/>
    <n v="1103"/>
    <n v="750"/>
    <x v="0"/>
  </r>
  <r>
    <n v="369"/>
    <x v="47"/>
    <n v="1084"/>
    <n v="750"/>
    <x v="0"/>
  </r>
  <r>
    <n v="370"/>
    <x v="48"/>
    <n v="883"/>
    <n v="750"/>
    <x v="0"/>
  </r>
  <r>
    <n v="371"/>
    <x v="49"/>
    <n v="1781"/>
    <n v="750"/>
    <x v="0"/>
  </r>
  <r>
    <n v="372"/>
    <x v="50"/>
    <n v="897"/>
    <n v="750"/>
    <x v="0"/>
  </r>
  <r>
    <n v="373"/>
    <x v="51"/>
    <n v="906"/>
    <n v="750"/>
    <x v="0"/>
  </r>
  <r>
    <n v="374"/>
    <x v="52"/>
    <n v="916"/>
    <n v="750"/>
    <x v="0"/>
  </r>
  <r>
    <n v="375"/>
    <x v="53"/>
    <n v="925"/>
    <n v="750"/>
    <x v="0"/>
  </r>
  <r>
    <n v="376"/>
    <x v="54"/>
    <n v="1781"/>
    <n v="750"/>
    <x v="0"/>
  </r>
  <r>
    <n v="377"/>
    <x v="55"/>
    <n v="941"/>
    <n v="750"/>
    <x v="0"/>
  </r>
  <r>
    <n v="378"/>
    <x v="56"/>
    <n v="926"/>
    <n v="750"/>
    <x v="0"/>
  </r>
  <r>
    <n v="379"/>
    <x v="57"/>
    <n v="1911"/>
    <n v="750"/>
    <x v="0"/>
  </r>
  <r>
    <n v="380"/>
    <x v="58"/>
    <n v="770"/>
    <n v="750"/>
    <x v="0"/>
  </r>
  <r>
    <n v="381"/>
    <x v="59"/>
    <n v="789"/>
    <n v="750"/>
    <x v="0"/>
  </r>
  <r>
    <n v="382"/>
    <x v="60"/>
    <n v="808"/>
    <n v="750"/>
    <x v="0"/>
  </r>
  <r>
    <n v="383"/>
    <x v="61"/>
    <n v="1901"/>
    <n v="750"/>
    <x v="0"/>
  </r>
  <r>
    <n v="384"/>
    <x v="62"/>
    <n v="820"/>
    <n v="750"/>
    <x v="0"/>
  </r>
  <r>
    <n v="385"/>
    <x v="63"/>
    <n v="1778"/>
    <n v="750"/>
    <x v="0"/>
  </r>
  <r>
    <n v="386"/>
    <x v="64"/>
    <n v="725"/>
    <n v="750"/>
    <x v="1"/>
  </r>
  <r>
    <n v="387"/>
    <x v="65"/>
    <n v="1888"/>
    <n v="750"/>
    <x v="0"/>
  </r>
  <r>
    <n v="388"/>
    <x v="66"/>
    <n v="798"/>
    <n v="750"/>
    <x v="0"/>
  </r>
  <r>
    <n v="389"/>
    <x v="67"/>
    <n v="1808"/>
    <n v="750"/>
    <x v="0"/>
  </r>
  <r>
    <n v="390"/>
    <x v="68"/>
    <n v="798"/>
    <n v="750"/>
    <x v="0"/>
  </r>
  <r>
    <n v="391"/>
    <x v="69"/>
    <n v="809"/>
    <n v="750"/>
    <x v="0"/>
  </r>
  <r>
    <n v="392"/>
    <x v="70"/>
    <n v="818"/>
    <n v="750"/>
    <x v="0"/>
  </r>
  <r>
    <n v="393"/>
    <x v="71"/>
    <n v="1880"/>
    <n v="750"/>
    <x v="0"/>
  </r>
  <r>
    <n v="394"/>
    <x v="72"/>
    <n v="911"/>
    <n v="750"/>
    <x v="0"/>
  </r>
  <r>
    <n v="395"/>
    <x v="73"/>
    <n v="784"/>
    <n v="750"/>
    <x v="0"/>
  </r>
  <r>
    <n v="396"/>
    <x v="74"/>
    <n v="1824"/>
    <n v="750"/>
    <x v="0"/>
  </r>
  <r>
    <n v="397"/>
    <x v="75"/>
    <n v="1652"/>
    <n v="750"/>
    <x v="0"/>
  </r>
  <r>
    <n v="398"/>
    <x v="76"/>
    <n v="1326"/>
    <n v="600"/>
    <x v="0"/>
  </r>
  <r>
    <n v="399"/>
    <x v="77"/>
    <n v="1308"/>
    <n v="600"/>
    <x v="0"/>
  </r>
  <r>
    <n v="400"/>
    <x v="78"/>
    <n v="790"/>
    <n v="375"/>
    <x v="0"/>
  </r>
  <r>
    <n v="401"/>
    <x v="79"/>
    <n v="797"/>
    <n v="375"/>
    <x v="0"/>
  </r>
  <r>
    <n v="402"/>
    <x v="80"/>
    <n v="990"/>
    <n v="750"/>
    <x v="0"/>
  </r>
  <r>
    <n v="403"/>
    <x v="81"/>
    <n v="981"/>
    <n v="750"/>
    <x v="0"/>
  </r>
  <r>
    <n v="404"/>
    <x v="82"/>
    <n v="972"/>
    <n v="750"/>
    <x v="0"/>
  </r>
  <r>
    <n v="405"/>
    <x v="83"/>
    <n v="963"/>
    <n v="750"/>
    <x v="0"/>
  </r>
  <r>
    <n v="406"/>
    <x v="84"/>
    <n v="952"/>
    <n v="750"/>
    <x v="0"/>
  </r>
  <r>
    <n v="407"/>
    <x v="85"/>
    <n v="1672"/>
    <n v="750"/>
    <x v="0"/>
  </r>
  <r>
    <n v="408"/>
    <x v="86"/>
    <n v="1057"/>
    <n v="750"/>
    <x v="0"/>
  </r>
  <r>
    <n v="409"/>
    <x v="87"/>
    <n v="1046"/>
    <n v="750"/>
    <x v="0"/>
  </r>
  <r>
    <n v="410"/>
    <x v="88"/>
    <n v="1037"/>
    <n v="750"/>
    <x v="0"/>
  </r>
  <r>
    <n v="411"/>
    <x v="89"/>
    <n v="1614"/>
    <n v="750"/>
    <x v="0"/>
  </r>
  <r>
    <n v="412"/>
    <x v="90"/>
    <n v="776"/>
    <n v="750"/>
    <x v="0"/>
  </r>
  <r>
    <n v="413"/>
    <x v="91"/>
    <n v="1703"/>
    <n v="750"/>
    <x v="0"/>
  </r>
  <r>
    <n v="414"/>
    <x v="92"/>
    <n v="1119"/>
    <n v="750"/>
    <x v="0"/>
  </r>
  <r>
    <n v="415"/>
    <x v="93"/>
    <n v="1104"/>
    <n v="750"/>
    <x v="0"/>
  </r>
  <r>
    <n v="416"/>
    <x v="94"/>
    <n v="1090"/>
    <n v="750"/>
    <x v="0"/>
  </r>
  <r>
    <n v="417"/>
    <x v="95"/>
    <n v="1715"/>
    <n v="750"/>
    <x v="0"/>
  </r>
  <r>
    <n v="418"/>
    <x v="96"/>
    <n v="919"/>
    <n v="750"/>
    <x v="0"/>
  </r>
  <r>
    <n v="419"/>
    <x v="97"/>
    <n v="914"/>
    <n v="750"/>
    <x v="0"/>
  </r>
  <r>
    <n v="420"/>
    <x v="98"/>
    <n v="909"/>
    <n v="750"/>
    <x v="0"/>
  </r>
  <r>
    <n v="421"/>
    <x v="99"/>
    <n v="905"/>
    <n v="750"/>
    <x v="0"/>
  </r>
  <r>
    <n v="422"/>
    <x v="100"/>
    <n v="1632"/>
    <n v="750"/>
    <x v="0"/>
  </r>
  <r>
    <n v="423"/>
    <x v="101"/>
    <n v="1628"/>
    <n v="750"/>
    <x v="0"/>
  </r>
  <r>
    <n v="424"/>
    <x v="102"/>
    <n v="1623"/>
    <n v="750"/>
    <x v="0"/>
  </r>
  <r>
    <n v="425"/>
    <x v="103"/>
    <n v="1618"/>
    <n v="750"/>
    <x v="0"/>
  </r>
  <r>
    <n v="426"/>
    <x v="104"/>
    <n v="1613"/>
    <n v="750"/>
    <x v="0"/>
  </r>
  <r>
    <n v="427"/>
    <x v="105"/>
    <n v="1608"/>
    <n v="750"/>
    <x v="0"/>
  </r>
  <r>
    <n v="428"/>
    <x v="106"/>
    <n v="1604"/>
    <n v="750"/>
    <x v="0"/>
  </r>
  <r>
    <n v="429"/>
    <x v="107"/>
    <n v="1599"/>
    <n v="750"/>
    <x v="0"/>
  </r>
  <r>
    <n v="430"/>
    <x v="108"/>
    <n v="1594"/>
    <n v="750"/>
    <x v="0"/>
  </r>
  <r>
    <n v="431"/>
    <x v="109"/>
    <n v="1604"/>
    <n v="750"/>
    <x v="0"/>
  </r>
  <r>
    <n v="432"/>
    <x v="110"/>
    <n v="1613"/>
    <n v="750"/>
    <x v="0"/>
  </r>
  <r>
    <n v="433"/>
    <x v="111"/>
    <n v="1623"/>
    <n v="750"/>
    <x v="0"/>
  </r>
  <r>
    <n v="434"/>
    <x v="112"/>
    <n v="1632"/>
    <n v="750"/>
    <x v="0"/>
  </r>
  <r>
    <n v="435"/>
    <x v="113"/>
    <n v="1642"/>
    <n v="750"/>
    <x v="0"/>
  </r>
  <r>
    <n v="436"/>
    <x v="114"/>
    <n v="1652"/>
    <n v="750"/>
    <x v="0"/>
  </r>
  <r>
    <n v="437"/>
    <x v="115"/>
    <n v="1661"/>
    <n v="750"/>
    <x v="0"/>
  </r>
  <r>
    <n v="438"/>
    <x v="116"/>
    <n v="1671"/>
    <n v="750"/>
    <x v="0"/>
  </r>
  <r>
    <n v="439"/>
    <x v="117"/>
    <n v="1680"/>
    <n v="750"/>
    <x v="0"/>
  </r>
  <r>
    <n v="440"/>
    <x v="118"/>
    <n v="1690"/>
    <n v="750"/>
    <x v="0"/>
  </r>
  <r>
    <n v="441"/>
    <x v="119"/>
    <n v="1676"/>
    <n v="750"/>
    <x v="0"/>
  </r>
  <r>
    <n v="442"/>
    <x v="120"/>
    <n v="1661"/>
    <n v="750"/>
    <x v="0"/>
  </r>
  <r>
    <n v="443"/>
    <x v="121"/>
    <n v="1647"/>
    <n v="750"/>
    <x v="0"/>
  </r>
  <r>
    <n v="444"/>
    <x v="122"/>
    <n v="1632"/>
    <n v="750"/>
    <x v="0"/>
  </r>
  <r>
    <n v="445"/>
    <x v="123"/>
    <n v="1618"/>
    <n v="750"/>
    <x v="0"/>
  </r>
  <r>
    <n v="446"/>
    <x v="124"/>
    <n v="1604"/>
    <n v="750"/>
    <x v="0"/>
  </r>
  <r>
    <n v="447"/>
    <x v="125"/>
    <n v="1589"/>
    <n v="750"/>
    <x v="0"/>
  </r>
  <r>
    <n v="448"/>
    <x v="126"/>
    <n v="1575"/>
    <n v="750"/>
    <x v="0"/>
  </r>
  <r>
    <n v="449"/>
    <x v="127"/>
    <n v="1560"/>
    <n v="750"/>
    <x v="0"/>
  </r>
  <r>
    <n v="450"/>
    <x v="128"/>
    <n v="1546"/>
    <n v="750"/>
    <x v="0"/>
  </r>
  <r>
    <n v="451"/>
    <x v="129"/>
    <n v="1556"/>
    <n v="750"/>
    <x v="0"/>
  </r>
  <r>
    <n v="452"/>
    <x v="130"/>
    <n v="1565"/>
    <n v="750"/>
    <x v="0"/>
  </r>
  <r>
    <n v="453"/>
    <x v="131"/>
    <n v="1575"/>
    <n v="750"/>
    <x v="0"/>
  </r>
  <r>
    <n v="454"/>
    <x v="132"/>
    <n v="1584"/>
    <n v="750"/>
    <x v="0"/>
  </r>
  <r>
    <n v="455"/>
    <x v="133"/>
    <n v="1594"/>
    <n v="750"/>
    <x v="0"/>
  </r>
  <r>
    <n v="456"/>
    <x v="134"/>
    <n v="1604"/>
    <n v="750"/>
    <x v="0"/>
  </r>
  <r>
    <n v="457"/>
    <x v="135"/>
    <n v="1613"/>
    <n v="750"/>
    <x v="0"/>
  </r>
  <r>
    <n v="458"/>
    <x v="136"/>
    <n v="1623"/>
    <n v="750"/>
    <x v="0"/>
  </r>
  <r>
    <n v="459"/>
    <x v="137"/>
    <n v="1632"/>
    <n v="750"/>
    <x v="0"/>
  </r>
  <r>
    <n v="460"/>
    <x v="138"/>
    <n v="1642"/>
    <n v="750"/>
    <x v="0"/>
  </r>
  <r>
    <n v="461"/>
    <x v="139"/>
    <n v="1652"/>
    <n v="750"/>
    <x v="0"/>
  </r>
  <r>
    <n v="462"/>
    <x v="140"/>
    <n v="701"/>
    <n v="750"/>
    <x v="1"/>
  </r>
  <r>
    <n v="463"/>
    <x v="141"/>
    <n v="1685"/>
    <n v="750"/>
    <x v="0"/>
  </r>
  <r>
    <n v="464"/>
    <x v="142"/>
    <n v="1690"/>
    <n v="750"/>
    <x v="0"/>
  </r>
  <r>
    <n v="465"/>
    <x v="143"/>
    <n v="1695"/>
    <n v="750"/>
    <x v="0"/>
  </r>
  <r>
    <n v="466"/>
    <x v="144"/>
    <n v="1700"/>
    <n v="750"/>
    <x v="0"/>
  </r>
  <r>
    <n v="467"/>
    <x v="145"/>
    <n v="1704"/>
    <n v="750"/>
    <x v="0"/>
  </r>
  <r>
    <n v="468"/>
    <x v="146"/>
    <n v="1709"/>
    <n v="750"/>
    <x v="0"/>
  </r>
  <r>
    <n v="469"/>
    <x v="147"/>
    <n v="1714"/>
    <n v="750"/>
    <x v="0"/>
  </r>
  <r>
    <n v="470"/>
    <x v="148"/>
    <n v="1719"/>
    <n v="750"/>
    <x v="0"/>
  </r>
  <r>
    <n v="471"/>
    <x v="149"/>
    <n v="1724"/>
    <n v="750"/>
    <x v="0"/>
  </r>
  <r>
    <n v="472"/>
    <x v="150"/>
    <n v="1728"/>
    <n v="750"/>
    <x v="0"/>
  </r>
  <r>
    <n v="473"/>
    <x v="151"/>
    <n v="1733"/>
    <n v="750"/>
    <x v="0"/>
  </r>
  <r>
    <n v="474"/>
    <x v="152"/>
    <n v="1738"/>
    <n v="750"/>
    <x v="0"/>
  </r>
  <r>
    <n v="475"/>
    <x v="153"/>
    <n v="1743"/>
    <n v="750"/>
    <x v="0"/>
  </r>
  <r>
    <n v="476"/>
    <x v="154"/>
    <n v="1083"/>
    <n v="750"/>
    <x v="0"/>
  </r>
  <r>
    <n v="477"/>
    <x v="155"/>
    <n v="1079"/>
    <n v="750"/>
    <x v="0"/>
  </r>
  <r>
    <n v="478"/>
    <x v="156"/>
    <n v="1687"/>
    <n v="750"/>
    <x v="0"/>
  </r>
  <r>
    <n v="479"/>
    <x v="157"/>
    <n v="1029"/>
    <n v="750"/>
    <x v="0"/>
  </r>
  <r>
    <n v="480"/>
    <x v="158"/>
    <n v="1661"/>
    <n v="750"/>
    <x v="0"/>
  </r>
  <r>
    <n v="481"/>
    <x v="159"/>
    <n v="997"/>
    <n v="750"/>
    <x v="0"/>
  </r>
  <r>
    <n v="482"/>
    <x v="160"/>
    <n v="924"/>
    <n v="750"/>
    <x v="0"/>
  </r>
  <r>
    <n v="483"/>
    <x v="161"/>
    <n v="1681"/>
    <n v="750"/>
    <x v="0"/>
  </r>
  <r>
    <n v="484"/>
    <x v="162"/>
    <n v="997"/>
    <n v="750"/>
    <x v="0"/>
  </r>
  <r>
    <n v="485"/>
    <x v="163"/>
    <n v="924"/>
    <n v="750"/>
    <x v="0"/>
  </r>
  <r>
    <n v="486"/>
    <x v="164"/>
    <n v="1661"/>
    <n v="750"/>
    <x v="0"/>
  </r>
  <r>
    <n v="487"/>
    <x v="165"/>
    <n v="992"/>
    <n v="750"/>
    <x v="0"/>
  </r>
  <r>
    <n v="488"/>
    <x v="166"/>
    <n v="935"/>
    <n v="750"/>
    <x v="0"/>
  </r>
  <r>
    <n v="489"/>
    <x v="167"/>
    <n v="1837"/>
    <n v="750"/>
    <x v="0"/>
  </r>
  <r>
    <n v="490"/>
    <x v="168"/>
    <n v="1780"/>
    <n v="750"/>
    <x v="0"/>
  </r>
  <r>
    <n v="491"/>
    <x v="169"/>
    <n v="922"/>
    <n v="750"/>
    <x v="0"/>
  </r>
  <r>
    <n v="492"/>
    <x v="170"/>
    <n v="47"/>
    <n v="45"/>
    <x v="0"/>
  </r>
  <r>
    <n v="493"/>
    <x v="171"/>
    <n v="93"/>
    <n v="45"/>
    <x v="0"/>
  </r>
  <r>
    <n v="494"/>
    <x v="172"/>
    <n v="65"/>
    <n v="45"/>
    <x v="0"/>
  </r>
  <r>
    <n v="495"/>
    <x v="173"/>
    <n v="109"/>
    <n v="45"/>
    <x v="0"/>
  </r>
  <r>
    <n v="496"/>
    <x v="174"/>
    <n v="99"/>
    <n v="45"/>
    <x v="0"/>
  </r>
  <r>
    <n v="497"/>
    <x v="175"/>
    <n v="973"/>
    <n v="750"/>
    <x v="0"/>
  </r>
  <r>
    <n v="504"/>
    <x v="176"/>
    <n v="1084"/>
    <n v="750"/>
    <x v="0"/>
  </r>
  <r>
    <n v="505"/>
    <x v="177"/>
    <n v="970"/>
    <n v="750"/>
    <x v="0"/>
  </r>
  <r>
    <n v="506"/>
    <x v="178"/>
    <n v="827"/>
    <n v="750"/>
    <x v="0"/>
  </r>
  <r>
    <n v="507"/>
    <x v="179"/>
    <n v="1215"/>
    <n v="600"/>
    <x v="0"/>
  </r>
  <r>
    <n v="508"/>
    <x v="180"/>
    <n v="1231"/>
    <n v="600"/>
    <x v="0"/>
  </r>
  <r>
    <n v="509"/>
    <x v="181"/>
    <n v="1247"/>
    <n v="600"/>
    <x v="0"/>
  </r>
  <r>
    <n v="510"/>
    <x v="182"/>
    <n v="722"/>
    <n v="600"/>
    <x v="0"/>
  </r>
  <r>
    <n v="511"/>
    <x v="183"/>
    <n v="740"/>
    <n v="600"/>
    <x v="0"/>
  </r>
  <r>
    <n v="512"/>
    <x v="184"/>
    <n v="615"/>
    <n v="600"/>
    <x v="0"/>
  </r>
  <r>
    <n v="513"/>
    <x v="185"/>
    <n v="1364"/>
    <n v="600"/>
    <x v="0"/>
  </r>
  <r>
    <n v="514"/>
    <x v="186"/>
    <n v="797"/>
    <n v="375"/>
    <x v="0"/>
  </r>
  <r>
    <n v="515"/>
    <x v="187"/>
    <n v="802"/>
    <n v="375"/>
    <x v="0"/>
  </r>
  <r>
    <n v="516"/>
    <x v="188"/>
    <n v="807"/>
    <n v="375"/>
    <x v="0"/>
  </r>
  <r>
    <n v="517"/>
    <x v="189"/>
    <n v="812"/>
    <n v="375"/>
    <x v="0"/>
  </r>
  <r>
    <n v="518"/>
    <x v="190"/>
    <n v="816"/>
    <n v="375"/>
    <x v="0"/>
  </r>
  <r>
    <n v="519"/>
    <x v="191"/>
    <n v="821"/>
    <n v="375"/>
    <x v="0"/>
  </r>
  <r>
    <n v="520"/>
    <x v="192"/>
    <n v="826"/>
    <n v="375"/>
    <x v="0"/>
  </r>
  <r>
    <n v="521"/>
    <x v="193"/>
    <n v="831"/>
    <n v="375"/>
    <x v="0"/>
  </r>
  <r>
    <n v="522"/>
    <x v="194"/>
    <n v="836"/>
    <n v="375"/>
    <x v="0"/>
  </r>
  <r>
    <n v="523"/>
    <x v="195"/>
    <n v="512"/>
    <n v="375"/>
    <x v="0"/>
  </r>
  <r>
    <n v="524"/>
    <x v="196"/>
    <n v="459"/>
    <n v="375"/>
    <x v="0"/>
  </r>
  <r>
    <n v="525"/>
    <x v="197"/>
    <n v="1263"/>
    <n v="600"/>
    <x v="0"/>
  </r>
  <r>
    <n v="526"/>
    <x v="198"/>
    <n v="1211"/>
    <n v="600"/>
    <x v="0"/>
  </r>
  <r>
    <n v="527"/>
    <x v="199"/>
    <n v="1590"/>
    <n v="750"/>
    <x v="0"/>
  </r>
  <r>
    <n v="528"/>
    <x v="200"/>
    <n v="1653"/>
    <n v="750"/>
    <x v="0"/>
  </r>
  <r>
    <n v="529"/>
    <x v="201"/>
    <n v="796"/>
    <n v="375"/>
    <x v="0"/>
  </r>
  <r>
    <n v="530"/>
    <x v="202"/>
    <n v="780"/>
    <n v="375"/>
    <x v="0"/>
  </r>
  <r>
    <n v="531"/>
    <x v="203"/>
    <n v="801"/>
    <n v="375"/>
    <x v="0"/>
  </r>
  <r>
    <n v="532"/>
    <x v="204"/>
    <n v="1257"/>
    <n v="600"/>
    <x v="0"/>
  </r>
  <r>
    <n v="533"/>
    <x v="205"/>
    <n v="831"/>
    <n v="375"/>
    <x v="0"/>
  </r>
  <r>
    <n v="534"/>
    <x v="206"/>
    <n v="657"/>
    <n v="375"/>
    <x v="0"/>
  </r>
  <r>
    <n v="535"/>
    <x v="207"/>
    <n v="836"/>
    <n v="600"/>
    <x v="0"/>
  </r>
  <r>
    <n v="679"/>
    <x v="208"/>
    <n v="421"/>
    <n v="375"/>
    <x v="0"/>
  </r>
  <r>
    <n v="707"/>
    <x v="209"/>
    <n v="288"/>
    <n v="3"/>
    <x v="0"/>
  </r>
  <r>
    <n v="708"/>
    <x v="210"/>
    <n v="324"/>
    <n v="3"/>
    <x v="0"/>
  </r>
  <r>
    <n v="709"/>
    <x v="211"/>
    <n v="180"/>
    <n v="3"/>
    <x v="0"/>
  </r>
  <r>
    <n v="710"/>
    <x v="212"/>
    <n v="216"/>
    <n v="3"/>
    <x v="0"/>
  </r>
  <r>
    <n v="711"/>
    <x v="213"/>
    <n v="216"/>
    <n v="3"/>
    <x v="0"/>
  </r>
  <r>
    <n v="712"/>
    <x v="214"/>
    <n v="288"/>
    <n v="3"/>
    <x v="0"/>
  </r>
  <r>
    <n v="713"/>
    <x v="215"/>
    <n v="144"/>
    <n v="3"/>
    <x v="0"/>
  </r>
  <r>
    <n v="714"/>
    <x v="216"/>
    <n v="180"/>
    <n v="3"/>
    <x v="0"/>
  </r>
  <r>
    <n v="715"/>
    <x v="217"/>
    <n v="216"/>
    <n v="3"/>
    <x v="0"/>
  </r>
  <r>
    <n v="716"/>
    <x v="218"/>
    <n v="252"/>
    <n v="3"/>
    <x v="0"/>
  </r>
  <r>
    <n v="747"/>
    <x v="219"/>
    <n v="834"/>
    <n v="375"/>
    <x v="0"/>
  </r>
  <r>
    <n v="748"/>
    <x v="220"/>
    <n v="738"/>
    <n v="375"/>
    <x v="0"/>
  </r>
  <r>
    <n v="749"/>
    <x v="221"/>
    <n v="133"/>
    <n v="75"/>
    <x v="0"/>
  </r>
  <r>
    <n v="750"/>
    <x v="222"/>
    <n v="223"/>
    <n v="75"/>
    <x v="0"/>
  </r>
  <r>
    <n v="751"/>
    <x v="223"/>
    <n v="140"/>
    <n v="75"/>
    <x v="0"/>
  </r>
  <r>
    <n v="752"/>
    <x v="224"/>
    <n v="128"/>
    <n v="75"/>
    <x v="0"/>
  </r>
  <r>
    <n v="753"/>
    <x v="225"/>
    <n v="163"/>
    <n v="75"/>
    <x v="0"/>
  </r>
  <r>
    <n v="754"/>
    <x v="226"/>
    <n v="148"/>
    <n v="75"/>
    <x v="0"/>
  </r>
  <r>
    <n v="755"/>
    <x v="227"/>
    <n v="137"/>
    <n v="75"/>
    <x v="0"/>
  </r>
  <r>
    <n v="756"/>
    <x v="228"/>
    <n v="129"/>
    <n v="75"/>
    <x v="0"/>
  </r>
  <r>
    <n v="757"/>
    <x v="229"/>
    <n v="134"/>
    <n v="75"/>
    <x v="0"/>
  </r>
  <r>
    <n v="758"/>
    <x v="230"/>
    <n v="165"/>
    <n v="75"/>
    <x v="0"/>
  </r>
  <r>
    <n v="759"/>
    <x v="231"/>
    <n v="163"/>
    <n v="75"/>
    <x v="0"/>
  </r>
  <r>
    <n v="760"/>
    <x v="232"/>
    <n v="185"/>
    <n v="75"/>
    <x v="0"/>
  </r>
  <r>
    <n v="761"/>
    <x v="233"/>
    <n v="148"/>
    <n v="75"/>
    <x v="0"/>
  </r>
  <r>
    <n v="762"/>
    <x v="234"/>
    <n v="137"/>
    <n v="75"/>
    <x v="0"/>
  </r>
  <r>
    <n v="763"/>
    <x v="235"/>
    <n v="223"/>
    <n v="75"/>
    <x v="0"/>
  </r>
  <r>
    <n v="764"/>
    <x v="236"/>
    <n v="140"/>
    <n v="75"/>
    <x v="0"/>
  </r>
  <r>
    <n v="765"/>
    <x v="237"/>
    <n v="134"/>
    <n v="75"/>
    <x v="0"/>
  </r>
  <r>
    <n v="766"/>
    <x v="238"/>
    <n v="165"/>
    <n v="75"/>
    <x v="0"/>
  </r>
  <r>
    <n v="767"/>
    <x v="239"/>
    <n v="188"/>
    <n v="75"/>
    <x v="0"/>
  </r>
  <r>
    <n v="768"/>
    <x v="240"/>
    <n v="148"/>
    <n v="75"/>
    <x v="0"/>
  </r>
  <r>
    <n v="769"/>
    <x v="241"/>
    <n v="133"/>
    <n v="75"/>
    <x v="0"/>
  </r>
  <r>
    <n v="770"/>
    <x v="242"/>
    <n v="227"/>
    <n v="75"/>
    <x v="0"/>
  </r>
  <r>
    <n v="771"/>
    <x v="243"/>
    <n v="149"/>
    <n v="75"/>
    <x v="0"/>
  </r>
  <r>
    <n v="772"/>
    <x v="244"/>
    <n v="153"/>
    <n v="75"/>
    <x v="0"/>
  </r>
  <r>
    <n v="773"/>
    <x v="245"/>
    <n v="158"/>
    <n v="75"/>
    <x v="0"/>
  </r>
  <r>
    <n v="774"/>
    <x v="246"/>
    <n v="164"/>
    <n v="75"/>
    <x v="0"/>
  </r>
  <r>
    <n v="775"/>
    <x v="247"/>
    <n v="155"/>
    <n v="75"/>
    <x v="0"/>
  </r>
  <r>
    <n v="776"/>
    <x v="248"/>
    <n v="194"/>
    <n v="75"/>
    <x v="0"/>
  </r>
  <r>
    <n v="777"/>
    <x v="249"/>
    <n v="149"/>
    <n v="75"/>
    <x v="0"/>
  </r>
  <r>
    <n v="778"/>
    <x v="250"/>
    <n v="153"/>
    <n v="75"/>
    <x v="0"/>
  </r>
  <r>
    <n v="779"/>
    <x v="251"/>
    <n v="137"/>
    <n v="75"/>
    <x v="0"/>
  </r>
  <r>
    <n v="780"/>
    <x v="252"/>
    <n v="223"/>
    <n v="75"/>
    <x v="0"/>
  </r>
  <r>
    <n v="781"/>
    <x v="253"/>
    <n v="140"/>
    <n v="75"/>
    <x v="0"/>
  </r>
  <r>
    <n v="782"/>
    <x v="254"/>
    <n v="188"/>
    <n v="75"/>
    <x v="0"/>
  </r>
  <r>
    <n v="783"/>
    <x v="255"/>
    <n v="148"/>
    <n v="75"/>
    <x v="0"/>
  </r>
  <r>
    <n v="784"/>
    <x v="256"/>
    <n v="137"/>
    <n v="75"/>
    <x v="0"/>
  </r>
  <r>
    <n v="785"/>
    <x v="257"/>
    <n v="137"/>
    <n v="75"/>
    <x v="0"/>
  </r>
  <r>
    <n v="786"/>
    <x v="258"/>
    <n v="223"/>
    <n v="75"/>
    <x v="0"/>
  </r>
  <r>
    <n v="787"/>
    <x v="259"/>
    <n v="140"/>
    <n v="75"/>
    <x v="0"/>
  </r>
  <r>
    <n v="788"/>
    <x v="260"/>
    <n v="128"/>
    <n v="75"/>
    <x v="0"/>
  </r>
  <r>
    <n v="789"/>
    <x v="261"/>
    <n v="163"/>
    <n v="75"/>
    <x v="0"/>
  </r>
  <r>
    <n v="790"/>
    <x v="262"/>
    <n v="185"/>
    <n v="75"/>
    <x v="0"/>
  </r>
  <r>
    <n v="791"/>
    <x v="263"/>
    <n v="148"/>
    <n v="75"/>
    <x v="0"/>
  </r>
  <r>
    <n v="792"/>
    <x v="264"/>
    <n v="227"/>
    <n v="75"/>
    <x v="0"/>
  </r>
  <r>
    <n v="793"/>
    <x v="265"/>
    <n v="134"/>
    <n v="75"/>
    <x v="0"/>
  </r>
  <r>
    <n v="794"/>
    <x v="266"/>
    <n v="165"/>
    <n v="75"/>
    <x v="0"/>
  </r>
  <r>
    <n v="795"/>
    <x v="267"/>
    <n v="188"/>
    <n v="75"/>
    <x v="0"/>
  </r>
  <r>
    <n v="796"/>
    <x v="268"/>
    <n v="148"/>
    <n v="75"/>
    <x v="0"/>
  </r>
  <r>
    <n v="797"/>
    <x v="269"/>
    <n v="148"/>
    <n v="75"/>
    <x v="0"/>
  </r>
  <r>
    <n v="798"/>
    <x v="270"/>
    <n v="133"/>
    <n v="75"/>
    <x v="0"/>
  </r>
  <r>
    <n v="799"/>
    <x v="271"/>
    <n v="227"/>
    <n v="75"/>
    <x v="0"/>
  </r>
  <r>
    <n v="800"/>
    <x v="272"/>
    <n v="129"/>
    <n v="75"/>
    <x v="0"/>
  </r>
  <r>
    <n v="801"/>
    <x v="273"/>
    <n v="134"/>
    <n v="75"/>
    <x v="0"/>
  </r>
  <r>
    <n v="802"/>
    <x v="274"/>
    <n v="863"/>
    <n v="375"/>
    <x v="0"/>
  </r>
  <r>
    <n v="803"/>
    <x v="275"/>
    <n v="882"/>
    <n v="375"/>
    <x v="0"/>
  </r>
  <r>
    <n v="804"/>
    <x v="276"/>
    <n v="901"/>
    <n v="375"/>
    <x v="0"/>
  </r>
  <r>
    <n v="805"/>
    <x v="277"/>
    <n v="761"/>
    <n v="375"/>
    <x v="0"/>
  </r>
  <r>
    <n v="806"/>
    <x v="278"/>
    <n v="772"/>
    <n v="375"/>
    <x v="0"/>
  </r>
  <r>
    <n v="807"/>
    <x v="279"/>
    <n v="782"/>
    <n v="375"/>
    <x v="0"/>
  </r>
  <r>
    <n v="808"/>
    <x v="280"/>
    <n v="859"/>
    <n v="375"/>
    <x v="0"/>
  </r>
  <r>
    <n v="809"/>
    <x v="281"/>
    <n v="850"/>
    <n v="375"/>
    <x v="0"/>
  </r>
  <r>
    <n v="810"/>
    <x v="282"/>
    <n v="840"/>
    <n v="375"/>
    <x v="0"/>
  </r>
  <r>
    <n v="811"/>
    <x v="283"/>
    <n v="831"/>
    <n v="375"/>
    <x v="0"/>
  </r>
  <r>
    <n v="812"/>
    <x v="284"/>
    <n v="822"/>
    <n v="375"/>
    <x v="0"/>
  </r>
  <r>
    <n v="813"/>
    <x v="285"/>
    <n v="811"/>
    <n v="375"/>
    <x v="0"/>
  </r>
  <r>
    <n v="814"/>
    <x v="286"/>
    <n v="767"/>
    <n v="375"/>
    <x v="0"/>
  </r>
  <r>
    <n v="815"/>
    <x v="287"/>
    <n v="722"/>
    <n v="375"/>
    <x v="0"/>
  </r>
  <r>
    <n v="816"/>
    <x v="288"/>
    <n v="818"/>
    <n v="375"/>
    <x v="0"/>
  </r>
  <r>
    <n v="817"/>
    <x v="289"/>
    <n v="831"/>
    <n v="375"/>
    <x v="0"/>
  </r>
  <r>
    <n v="818"/>
    <x v="290"/>
    <n v="888"/>
    <n v="375"/>
    <x v="0"/>
  </r>
  <r>
    <n v="819"/>
    <x v="291"/>
    <n v="793"/>
    <n v="375"/>
    <x v="0"/>
  </r>
  <r>
    <n v="820"/>
    <x v="292"/>
    <n v="678"/>
    <n v="375"/>
    <x v="0"/>
  </r>
  <r>
    <n v="821"/>
    <x v="293"/>
    <n v="736"/>
    <n v="375"/>
    <x v="0"/>
  </r>
  <r>
    <n v="822"/>
    <x v="294"/>
    <n v="796"/>
    <n v="375"/>
    <x v="0"/>
  </r>
  <r>
    <n v="823"/>
    <x v="295"/>
    <n v="681"/>
    <n v="375"/>
    <x v="0"/>
  </r>
  <r>
    <n v="824"/>
    <x v="296"/>
    <n v="812"/>
    <n v="375"/>
    <x v="0"/>
  </r>
  <r>
    <n v="825"/>
    <x v="297"/>
    <n v="783"/>
    <n v="375"/>
    <x v="0"/>
  </r>
  <r>
    <n v="826"/>
    <x v="298"/>
    <n v="799"/>
    <n v="375"/>
    <x v="0"/>
  </r>
  <r>
    <n v="827"/>
    <x v="299"/>
    <n v="837"/>
    <n v="375"/>
    <x v="0"/>
  </r>
  <r>
    <n v="828"/>
    <x v="300"/>
    <n v="716"/>
    <n v="375"/>
    <x v="0"/>
  </r>
  <r>
    <n v="829"/>
    <x v="301"/>
    <n v="741"/>
    <n v="375"/>
    <x v="0"/>
  </r>
  <r>
    <n v="841"/>
    <x v="302"/>
    <n v="288"/>
    <n v="3"/>
    <x v="0"/>
  </r>
  <r>
    <n v="842"/>
    <x v="303"/>
    <n v="72"/>
    <n v="3"/>
    <x v="0"/>
  </r>
  <r>
    <n v="843"/>
    <x v="304"/>
    <n v="252"/>
    <n v="3"/>
    <x v="0"/>
  </r>
  <r>
    <n v="844"/>
    <x v="305"/>
    <n v="288"/>
    <n v="3"/>
    <x v="0"/>
  </r>
  <r>
    <n v="845"/>
    <x v="306"/>
    <n v="324"/>
    <n v="3"/>
    <x v="0"/>
  </r>
  <r>
    <n v="846"/>
    <x v="307"/>
    <n v="144"/>
    <n v="3"/>
    <x v="0"/>
  </r>
  <r>
    <n v="847"/>
    <x v="308"/>
    <n v="180"/>
    <n v="3"/>
    <x v="0"/>
  </r>
  <r>
    <n v="848"/>
    <x v="309"/>
    <n v="216"/>
    <n v="3"/>
    <x v="0"/>
  </r>
  <r>
    <n v="849"/>
    <x v="310"/>
    <n v="108"/>
    <n v="3"/>
    <x v="0"/>
  </r>
  <r>
    <n v="850"/>
    <x v="311"/>
    <n v="144"/>
    <n v="3"/>
    <x v="0"/>
  </r>
  <r>
    <n v="851"/>
    <x v="312"/>
    <n v="180"/>
    <n v="3"/>
    <x v="0"/>
  </r>
  <r>
    <n v="852"/>
    <x v="313"/>
    <n v="324"/>
    <n v="3"/>
    <x v="0"/>
  </r>
  <r>
    <n v="853"/>
    <x v="314"/>
    <n v="0"/>
    <n v="3"/>
    <x v="1"/>
  </r>
  <r>
    <n v="854"/>
    <x v="315"/>
    <n v="36"/>
    <n v="3"/>
    <x v="0"/>
  </r>
  <r>
    <n v="855"/>
    <x v="316"/>
    <n v="72"/>
    <n v="3"/>
    <x v="0"/>
  </r>
  <r>
    <n v="856"/>
    <x v="317"/>
    <n v="108"/>
    <n v="3"/>
    <x v="0"/>
  </r>
  <r>
    <n v="857"/>
    <x v="318"/>
    <n v="144"/>
    <n v="3"/>
    <x v="0"/>
  </r>
  <r>
    <n v="858"/>
    <x v="319"/>
    <n v="324"/>
    <n v="3"/>
    <x v="0"/>
  </r>
  <r>
    <n v="859"/>
    <x v="320"/>
    <n v="0"/>
    <n v="3"/>
    <x v="1"/>
  </r>
  <r>
    <n v="860"/>
    <x v="321"/>
    <n v="36"/>
    <n v="3"/>
    <x v="0"/>
  </r>
  <r>
    <n v="861"/>
    <x v="322"/>
    <n v="72"/>
    <n v="3"/>
    <x v="0"/>
  </r>
  <r>
    <n v="862"/>
    <x v="323"/>
    <n v="108"/>
    <n v="3"/>
    <x v="0"/>
  </r>
  <r>
    <n v="863"/>
    <x v="324"/>
    <n v="144"/>
    <n v="3"/>
    <x v="0"/>
  </r>
  <r>
    <n v="864"/>
    <x v="325"/>
    <n v="180"/>
    <n v="3"/>
    <x v="0"/>
  </r>
  <r>
    <n v="865"/>
    <x v="326"/>
    <n v="216"/>
    <n v="3"/>
    <x v="0"/>
  </r>
  <r>
    <n v="866"/>
    <x v="327"/>
    <n v="252"/>
    <n v="3"/>
    <x v="0"/>
  </r>
  <r>
    <n v="867"/>
    <x v="328"/>
    <n v="216"/>
    <n v="3"/>
    <x v="0"/>
  </r>
  <r>
    <n v="868"/>
    <x v="329"/>
    <n v="252"/>
    <n v="3"/>
    <x v="0"/>
  </r>
  <r>
    <n v="869"/>
    <x v="330"/>
    <n v="288"/>
    <n v="3"/>
    <x v="0"/>
  </r>
  <r>
    <n v="870"/>
    <x v="331"/>
    <n v="252"/>
    <n v="3"/>
    <x v="0"/>
  </r>
  <r>
    <n v="871"/>
    <x v="332"/>
    <n v="288"/>
    <n v="3"/>
    <x v="0"/>
  </r>
  <r>
    <n v="872"/>
    <x v="333"/>
    <n v="324"/>
    <n v="3"/>
    <x v="0"/>
  </r>
  <r>
    <n v="873"/>
    <x v="334"/>
    <n v="180"/>
    <n v="3"/>
    <x v="0"/>
  </r>
  <r>
    <n v="874"/>
    <x v="335"/>
    <n v="252"/>
    <n v="3"/>
    <x v="0"/>
  </r>
  <r>
    <n v="875"/>
    <x v="336"/>
    <n v="288"/>
    <n v="3"/>
    <x v="0"/>
  </r>
  <r>
    <n v="876"/>
    <x v="337"/>
    <n v="0"/>
    <n v="3"/>
    <x v="1"/>
  </r>
  <r>
    <n v="877"/>
    <x v="338"/>
    <n v="36"/>
    <n v="3"/>
    <x v="0"/>
  </r>
  <r>
    <n v="878"/>
    <x v="339"/>
    <n v="108"/>
    <n v="3"/>
    <x v="0"/>
  </r>
  <r>
    <n v="879"/>
    <x v="340"/>
    <n v="144"/>
    <n v="3"/>
    <x v="0"/>
  </r>
  <r>
    <n v="880"/>
    <x v="341"/>
    <n v="108"/>
    <n v="3"/>
    <x v="0"/>
  </r>
  <r>
    <n v="881"/>
    <x v="342"/>
    <n v="324"/>
    <n v="3"/>
    <x v="0"/>
  </r>
  <r>
    <n v="882"/>
    <x v="343"/>
    <n v="0"/>
    <n v="3"/>
    <x v="1"/>
  </r>
  <r>
    <n v="883"/>
    <x v="344"/>
    <n v="36"/>
    <n v="3"/>
    <x v="0"/>
  </r>
  <r>
    <n v="884"/>
    <x v="345"/>
    <n v="72"/>
    <n v="3"/>
    <x v="0"/>
  </r>
  <r>
    <n v="894"/>
    <x v="346"/>
    <n v="847"/>
    <n v="375"/>
    <x v="0"/>
  </r>
  <r>
    <n v="907"/>
    <x v="347"/>
    <n v="723"/>
    <n v="375"/>
    <x v="0"/>
  </r>
  <r>
    <n v="908"/>
    <x v="348"/>
    <n v="809"/>
    <n v="375"/>
    <x v="0"/>
  </r>
  <r>
    <n v="909"/>
    <x v="349"/>
    <n v="422"/>
    <n v="375"/>
    <x v="0"/>
  </r>
  <r>
    <n v="910"/>
    <x v="350"/>
    <n v="355"/>
    <n v="375"/>
    <x v="1"/>
  </r>
  <r>
    <n v="911"/>
    <x v="351"/>
    <n v="906"/>
    <n v="375"/>
    <x v="0"/>
  </r>
  <r>
    <n v="912"/>
    <x v="352"/>
    <n v="901"/>
    <n v="375"/>
    <x v="0"/>
  </r>
  <r>
    <n v="913"/>
    <x v="353"/>
    <n v="467"/>
    <n v="375"/>
    <x v="0"/>
  </r>
  <r>
    <n v="914"/>
    <x v="354"/>
    <n v="801"/>
    <n v="375"/>
    <x v="0"/>
  </r>
  <r>
    <n v="915"/>
    <x v="355"/>
    <n v="402"/>
    <n v="375"/>
    <x v="0"/>
  </r>
  <r>
    <n v="916"/>
    <x v="356"/>
    <n v="989"/>
    <n v="375"/>
    <x v="0"/>
  </r>
  <r>
    <n v="921"/>
    <x v="357"/>
    <n v="529"/>
    <n v="375"/>
    <x v="0"/>
  </r>
  <r>
    <n v="922"/>
    <x v="358"/>
    <n v="505"/>
    <n v="375"/>
    <x v="0"/>
  </r>
  <r>
    <n v="923"/>
    <x v="359"/>
    <n v="502"/>
    <n v="375"/>
    <x v="0"/>
  </r>
  <r>
    <n v="928"/>
    <x v="360"/>
    <n v="609"/>
    <n v="375"/>
    <x v="0"/>
  </r>
  <r>
    <n v="929"/>
    <x v="361"/>
    <n v="669"/>
    <n v="375"/>
    <x v="0"/>
  </r>
  <r>
    <n v="930"/>
    <x v="362"/>
    <n v="499"/>
    <n v="375"/>
    <x v="0"/>
  </r>
  <r>
    <n v="931"/>
    <x v="363"/>
    <n v="488"/>
    <n v="375"/>
    <x v="0"/>
  </r>
  <r>
    <n v="932"/>
    <x v="364"/>
    <n v="574"/>
    <n v="375"/>
    <x v="0"/>
  </r>
  <r>
    <n v="933"/>
    <x v="365"/>
    <n v="527"/>
    <n v="375"/>
    <x v="0"/>
  </r>
  <r>
    <n v="934"/>
    <x v="366"/>
    <n v="482"/>
    <n v="375"/>
    <x v="0"/>
  </r>
  <r>
    <n v="935"/>
    <x v="367"/>
    <n v="512"/>
    <n v="375"/>
    <x v="0"/>
  </r>
  <r>
    <n v="936"/>
    <x v="368"/>
    <n v="507"/>
    <n v="375"/>
    <x v="0"/>
  </r>
  <r>
    <n v="937"/>
    <x v="369"/>
    <n v="503"/>
    <n v="375"/>
    <x v="0"/>
  </r>
  <r>
    <n v="938"/>
    <x v="370"/>
    <n v="498"/>
    <n v="375"/>
    <x v="0"/>
  </r>
  <r>
    <n v="939"/>
    <x v="371"/>
    <n v="494"/>
    <n v="375"/>
    <x v="0"/>
  </r>
  <r>
    <n v="940"/>
    <x v="372"/>
    <n v="906"/>
    <n v="375"/>
    <x v="0"/>
  </r>
  <r>
    <n v="941"/>
    <x v="373"/>
    <n v="885"/>
    <n v="375"/>
    <x v="0"/>
  </r>
  <r>
    <n v="942"/>
    <x v="374"/>
    <n v="826"/>
    <n v="375"/>
    <x v="0"/>
  </r>
  <r>
    <n v="943"/>
    <x v="375"/>
    <n v="719"/>
    <n v="375"/>
    <x v="0"/>
  </r>
  <r>
    <n v="944"/>
    <x v="376"/>
    <n v="682"/>
    <n v="375"/>
    <x v="0"/>
  </r>
  <r>
    <n v="945"/>
    <x v="377"/>
    <n v="853"/>
    <n v="375"/>
    <x v="0"/>
  </r>
  <r>
    <n v="946"/>
    <x v="378"/>
    <n v="802"/>
    <n v="375"/>
    <x v="0"/>
  </r>
  <r>
    <n v="947"/>
    <x v="379"/>
    <n v="792"/>
    <n v="375"/>
    <x v="0"/>
  </r>
  <r>
    <n v="948"/>
    <x v="380"/>
    <n v="767"/>
    <n v="375"/>
    <x v="0"/>
  </r>
  <r>
    <n v="949"/>
    <x v="381"/>
    <n v="885"/>
    <n v="375"/>
    <x v="0"/>
  </r>
  <r>
    <n v="950"/>
    <x v="382"/>
    <n v="905"/>
    <n v="375"/>
    <x v="0"/>
  </r>
  <r>
    <n v="951"/>
    <x v="383"/>
    <n v="923"/>
    <n v="375"/>
    <x v="0"/>
  </r>
  <r>
    <n v="952"/>
    <x v="384"/>
    <n v="589"/>
    <n v="375"/>
    <x v="0"/>
  </r>
  <r>
    <n v="953"/>
    <x v="385"/>
    <n v="165"/>
    <n v="75"/>
    <x v="0"/>
  </r>
  <r>
    <n v="954"/>
    <x v="386"/>
    <n v="148"/>
    <n v="75"/>
    <x v="0"/>
  </r>
  <r>
    <n v="955"/>
    <x v="387"/>
    <n v="137"/>
    <n v="75"/>
    <x v="0"/>
  </r>
  <r>
    <n v="956"/>
    <x v="388"/>
    <n v="75"/>
    <n v="75"/>
    <x v="1"/>
  </r>
  <r>
    <n v="957"/>
    <x v="389"/>
    <n v="151"/>
    <n v="75"/>
    <x v="0"/>
  </r>
  <r>
    <n v="958"/>
    <x v="390"/>
    <n v="163"/>
    <n v="75"/>
    <x v="0"/>
  </r>
  <r>
    <n v="959"/>
    <x v="391"/>
    <n v="204"/>
    <n v="75"/>
    <x v="0"/>
  </r>
  <r>
    <n v="960"/>
    <x v="392"/>
    <n v="159"/>
    <n v="75"/>
    <x v="0"/>
  </r>
  <r>
    <n v="961"/>
    <x v="393"/>
    <n v="168"/>
    <n v="75"/>
    <x v="0"/>
  </r>
  <r>
    <n v="962"/>
    <x v="394"/>
    <n v="174"/>
    <n v="75"/>
    <x v="0"/>
  </r>
  <r>
    <n v="963"/>
    <x v="395"/>
    <n v="162"/>
    <n v="75"/>
    <x v="0"/>
  </r>
  <r>
    <n v="964"/>
    <x v="396"/>
    <n v="197"/>
    <n v="75"/>
    <x v="0"/>
  </r>
  <r>
    <n v="965"/>
    <x v="397"/>
    <n v="163"/>
    <n v="75"/>
    <x v="0"/>
  </r>
  <r>
    <n v="966"/>
    <x v="398"/>
    <n v="185"/>
    <n v="75"/>
    <x v="0"/>
  </r>
  <r>
    <n v="967"/>
    <x v="399"/>
    <n v="148"/>
    <n v="75"/>
    <x v="0"/>
  </r>
  <r>
    <n v="968"/>
    <x v="400"/>
    <n v="133"/>
    <n v="75"/>
    <x v="0"/>
  </r>
  <r>
    <n v="969"/>
    <x v="401"/>
    <n v="129"/>
    <n v="75"/>
    <x v="0"/>
  </r>
  <r>
    <n v="970"/>
    <x v="402"/>
    <n v="133"/>
    <n v="75"/>
    <x v="0"/>
  </r>
  <r>
    <n v="971"/>
    <x v="403"/>
    <n v="227"/>
    <n v="75"/>
    <x v="0"/>
  </r>
  <r>
    <n v="972"/>
    <x v="404"/>
    <n v="129"/>
    <n v="75"/>
    <x v="0"/>
  </r>
  <r>
    <n v="973"/>
    <x v="405"/>
    <n v="185"/>
    <n v="75"/>
    <x v="0"/>
  </r>
  <r>
    <n v="974"/>
    <x v="406"/>
    <n v="148"/>
    <n v="75"/>
    <x v="0"/>
  </r>
  <r>
    <n v="975"/>
    <x v="407"/>
    <n v="133"/>
    <n v="75"/>
    <x v="0"/>
  </r>
  <r>
    <n v="976"/>
    <x v="408"/>
    <n v="227"/>
    <n v="75"/>
    <x v="0"/>
  </r>
  <r>
    <n v="977"/>
    <x v="409"/>
    <n v="153"/>
    <n v="75"/>
    <x v="0"/>
  </r>
  <r>
    <n v="978"/>
    <x v="410"/>
    <n v="163"/>
    <n v="75"/>
    <x v="0"/>
  </r>
  <r>
    <n v="979"/>
    <x v="411"/>
    <n v="164"/>
    <n v="75"/>
    <x v="0"/>
  </r>
  <r>
    <n v="980"/>
    <x v="412"/>
    <n v="150"/>
    <n v="75"/>
    <x v="0"/>
  </r>
  <r>
    <n v="981"/>
    <x v="413"/>
    <n v="153"/>
    <n v="75"/>
    <x v="0"/>
  </r>
  <r>
    <n v="982"/>
    <x v="414"/>
    <n v="154"/>
    <n v="75"/>
    <x v="0"/>
  </r>
  <r>
    <n v="983"/>
    <x v="415"/>
    <n v="164"/>
    <n v="75"/>
    <x v="0"/>
  </r>
  <r>
    <n v="984"/>
    <x v="416"/>
    <n v="154"/>
    <n v="75"/>
    <x v="0"/>
  </r>
  <r>
    <n v="985"/>
    <x v="417"/>
    <n v="164"/>
    <n v="75"/>
    <x v="0"/>
  </r>
  <r>
    <n v="986"/>
    <x v="418"/>
    <n v="153"/>
    <n v="75"/>
    <x v="0"/>
  </r>
  <r>
    <n v="987"/>
    <x v="419"/>
    <n v="155"/>
    <n v="75"/>
    <x v="0"/>
  </r>
  <r>
    <n v="988"/>
    <x v="420"/>
    <n v="194"/>
    <n v="75"/>
    <x v="0"/>
  </r>
  <r>
    <n v="989"/>
    <x v="421"/>
    <n v="150"/>
    <n v="75"/>
    <x v="0"/>
  </r>
  <r>
    <n v="990"/>
    <x v="422"/>
    <n v="153"/>
    <n v="75"/>
    <x v="0"/>
  </r>
  <r>
    <n v="991"/>
    <x v="423"/>
    <n v="154"/>
    <n v="75"/>
    <x v="0"/>
  </r>
  <r>
    <n v="992"/>
    <x v="424"/>
    <n v="164"/>
    <n v="75"/>
    <x v="0"/>
  </r>
  <r>
    <n v="993"/>
    <x v="425"/>
    <n v="153"/>
    <n v="75"/>
    <x v="0"/>
  </r>
  <r>
    <n v="994"/>
    <x v="426"/>
    <n v="814"/>
    <n v="375"/>
    <x v="0"/>
  </r>
  <r>
    <n v="995"/>
    <x v="427"/>
    <n v="816"/>
    <n v="375"/>
    <x v="0"/>
  </r>
  <r>
    <n v="996"/>
    <x v="428"/>
    <n v="970"/>
    <n v="375"/>
    <x v="0"/>
  </r>
  <r>
    <n v="997"/>
    <x v="429"/>
    <n v="153"/>
    <n v="75"/>
    <x v="0"/>
  </r>
  <r>
    <n v="998"/>
    <x v="430"/>
    <n v="155"/>
    <n v="75"/>
    <x v="0"/>
  </r>
  <r>
    <n v="999"/>
    <x v="431"/>
    <n v="194"/>
    <n v="7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7A7D9-214F-453B-ACAA-D584C4059DAA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12:B27" firstHeaderRow="1" firstDataRow="1" firstDataCol="1"/>
  <pivotFields count="4">
    <pivotField showAll="0"/>
    <pivotField showAll="0">
      <items count="433">
        <item x="0"/>
        <item x="340"/>
        <item x="214"/>
        <item x="2"/>
        <item x="1"/>
        <item x="338"/>
        <item x="4"/>
        <item x="304"/>
        <item x="384"/>
        <item x="12"/>
        <item x="10"/>
        <item x="8"/>
        <item x="9"/>
        <item x="327"/>
        <item x="326"/>
        <item x="325"/>
        <item x="177"/>
        <item x="11"/>
        <item x="176"/>
        <item x="13"/>
        <item x="14"/>
        <item x="15"/>
        <item x="87"/>
        <item x="89"/>
        <item x="81"/>
        <item x="82"/>
        <item x="84"/>
        <item x="86"/>
        <item x="85"/>
        <item x="88"/>
        <item x="83"/>
        <item x="339"/>
        <item x="21"/>
        <item x="23"/>
        <item x="26"/>
        <item x="25"/>
        <item x="28"/>
        <item x="22"/>
        <item x="29"/>
        <item x="27"/>
        <item x="24"/>
        <item x="30"/>
        <item x="19"/>
        <item x="20"/>
        <item x="380"/>
        <item x="377"/>
        <item x="31"/>
        <item x="32"/>
        <item x="324"/>
        <item x="323"/>
        <item x="322"/>
        <item x="33"/>
        <item x="321"/>
        <item x="320"/>
        <item x="319"/>
        <item x="76"/>
        <item x="77"/>
        <item x="308"/>
        <item x="309"/>
        <item x="3"/>
        <item x="64"/>
        <item x="65"/>
        <item x="66"/>
        <item x="62"/>
        <item x="63"/>
        <item x="71"/>
        <item x="72"/>
        <item x="55"/>
        <item x="56"/>
        <item x="74"/>
        <item x="75"/>
        <item x="67"/>
        <item x="68"/>
        <item x="69"/>
        <item x="60"/>
        <item x="61"/>
        <item x="70"/>
        <item x="73"/>
        <item x="53"/>
        <item x="54"/>
        <item x="57"/>
        <item x="58"/>
        <item x="59"/>
        <item x="337"/>
        <item x="428"/>
        <item x="7"/>
        <item x="383"/>
        <item x="276"/>
        <item x="36"/>
        <item x="279"/>
        <item x="79"/>
        <item x="219"/>
        <item x="220"/>
        <item x="289"/>
        <item x="282"/>
        <item x="369"/>
        <item x="297"/>
        <item x="181"/>
        <item x="188"/>
        <item x="350"/>
        <item x="362"/>
        <item x="169"/>
        <item x="292"/>
        <item x="285"/>
        <item x="372"/>
        <item x="300"/>
        <item x="184"/>
        <item x="191"/>
        <item x="353"/>
        <item x="365"/>
        <item x="198"/>
        <item x="196"/>
        <item x="379"/>
        <item x="194"/>
        <item x="356"/>
        <item x="341"/>
        <item x="97"/>
        <item x="96"/>
        <item x="99"/>
        <item x="90"/>
        <item x="91"/>
        <item x="93"/>
        <item x="95"/>
        <item x="94"/>
        <item x="98"/>
        <item x="92"/>
        <item x="80"/>
        <item x="426"/>
        <item x="5"/>
        <item x="381"/>
        <item x="274"/>
        <item x="34"/>
        <item x="277"/>
        <item x="78"/>
        <item x="375"/>
        <item x="376"/>
        <item x="287"/>
        <item x="280"/>
        <item x="367"/>
        <item x="295"/>
        <item x="179"/>
        <item x="186"/>
        <item x="348"/>
        <item x="360"/>
        <item x="168"/>
        <item x="290"/>
        <item x="283"/>
        <item x="370"/>
        <item x="298"/>
        <item x="182"/>
        <item x="189"/>
        <item x="351"/>
        <item x="363"/>
        <item x="197"/>
        <item x="195"/>
        <item x="378"/>
        <item x="192"/>
        <item x="354"/>
        <item x="127"/>
        <item x="128"/>
        <item x="129"/>
        <item x="125"/>
        <item x="126"/>
        <item x="134"/>
        <item x="135"/>
        <item x="118"/>
        <item x="119"/>
        <item x="138"/>
        <item x="137"/>
        <item x="130"/>
        <item x="131"/>
        <item x="132"/>
        <item x="123"/>
        <item x="124"/>
        <item x="133"/>
        <item x="136"/>
        <item x="116"/>
        <item x="117"/>
        <item x="120"/>
        <item x="121"/>
        <item x="122"/>
        <item x="139"/>
        <item x="147"/>
        <item x="143"/>
        <item x="153"/>
        <item x="149"/>
        <item x="145"/>
        <item x="150"/>
        <item x="152"/>
        <item x="141"/>
        <item x="142"/>
        <item x="144"/>
        <item x="148"/>
        <item x="146"/>
        <item x="151"/>
        <item x="217"/>
        <item x="216"/>
        <item x="215"/>
        <item x="218"/>
        <item x="140"/>
        <item x="318"/>
        <item x="317"/>
        <item x="316"/>
        <item x="311"/>
        <item x="310"/>
        <item x="302"/>
        <item x="312"/>
        <item x="154"/>
        <item x="155"/>
        <item x="156"/>
        <item x="158"/>
        <item x="157"/>
        <item x="159"/>
        <item x="166"/>
        <item x="160"/>
        <item x="161"/>
        <item x="163"/>
        <item x="164"/>
        <item x="165"/>
        <item x="162"/>
        <item x="167"/>
        <item x="305"/>
        <item x="427"/>
        <item x="6"/>
        <item x="382"/>
        <item x="275"/>
        <item x="35"/>
        <item x="278"/>
        <item x="286"/>
        <item x="374"/>
        <item x="288"/>
        <item x="281"/>
        <item x="368"/>
        <item x="296"/>
        <item x="180"/>
        <item x="187"/>
        <item x="349"/>
        <item x="361"/>
        <item x="294"/>
        <item x="291"/>
        <item x="284"/>
        <item x="371"/>
        <item x="299"/>
        <item x="183"/>
        <item x="190"/>
        <item x="352"/>
        <item x="364"/>
        <item x="193"/>
        <item x="355"/>
        <item x="212"/>
        <item x="211"/>
        <item x="332"/>
        <item x="16"/>
        <item x="306"/>
        <item x="357"/>
        <item x="247"/>
        <item x="248"/>
        <item x="249"/>
        <item x="250"/>
        <item x="243"/>
        <item x="244"/>
        <item x="245"/>
        <item x="246"/>
        <item x="254"/>
        <item x="255"/>
        <item x="256"/>
        <item x="251"/>
        <item x="252"/>
        <item x="253"/>
        <item x="257"/>
        <item x="258"/>
        <item x="259"/>
        <item x="260"/>
        <item x="412"/>
        <item x="413"/>
        <item x="414"/>
        <item x="415"/>
        <item x="421"/>
        <item x="422"/>
        <item x="423"/>
        <item x="424"/>
        <item x="425"/>
        <item x="416"/>
        <item x="417"/>
        <item x="418"/>
        <item x="419"/>
        <item x="420"/>
        <item x="170"/>
        <item x="173"/>
        <item x="171"/>
        <item x="172"/>
        <item x="174"/>
        <item x="334"/>
        <item x="175"/>
        <item x="336"/>
        <item x="335"/>
        <item x="347"/>
        <item x="346"/>
        <item x="208"/>
        <item x="178"/>
        <item x="333"/>
        <item x="17"/>
        <item x="358"/>
        <item x="222"/>
        <item x="223"/>
        <item x="224"/>
        <item x="225"/>
        <item x="221"/>
        <item x="265"/>
        <item x="266"/>
        <item x="267"/>
        <item x="268"/>
        <item x="261"/>
        <item x="262"/>
        <item x="263"/>
        <item x="264"/>
        <item x="405"/>
        <item x="406"/>
        <item x="407"/>
        <item x="408"/>
        <item x="228"/>
        <item x="229"/>
        <item x="230"/>
        <item x="226"/>
        <item x="227"/>
        <item x="269"/>
        <item x="270"/>
        <item x="271"/>
        <item x="272"/>
        <item x="273"/>
        <item x="240"/>
        <item x="241"/>
        <item x="242"/>
        <item x="237"/>
        <item x="238"/>
        <item x="239"/>
        <item x="234"/>
        <item x="235"/>
        <item x="236"/>
        <item x="231"/>
        <item x="232"/>
        <item x="233"/>
        <item x="429"/>
        <item x="430"/>
        <item x="431"/>
        <item x="409"/>
        <item x="200"/>
        <item x="202"/>
        <item x="204"/>
        <item x="205"/>
        <item x="344"/>
        <item x="343"/>
        <item x="342"/>
        <item x="345"/>
        <item x="199"/>
        <item x="210"/>
        <item x="213"/>
        <item x="209"/>
        <item x="203"/>
        <item x="201"/>
        <item x="307"/>
        <item x="207"/>
        <item x="39"/>
        <item x="38"/>
        <item x="52"/>
        <item x="51"/>
        <item x="47"/>
        <item x="48"/>
        <item x="41"/>
        <item x="42"/>
        <item x="40"/>
        <item x="45"/>
        <item x="46"/>
        <item x="43"/>
        <item x="44"/>
        <item x="49"/>
        <item x="50"/>
        <item x="37"/>
        <item x="102"/>
        <item x="101"/>
        <item x="115"/>
        <item x="114"/>
        <item x="110"/>
        <item x="111"/>
        <item x="104"/>
        <item x="105"/>
        <item x="103"/>
        <item x="108"/>
        <item x="109"/>
        <item x="106"/>
        <item x="107"/>
        <item x="112"/>
        <item x="113"/>
        <item x="100"/>
        <item x="206"/>
        <item x="18"/>
        <item x="293"/>
        <item x="373"/>
        <item x="301"/>
        <item x="185"/>
        <item x="366"/>
        <item x="359"/>
        <item x="398"/>
        <item x="399"/>
        <item x="400"/>
        <item x="401"/>
        <item x="386"/>
        <item x="387"/>
        <item x="388"/>
        <item x="389"/>
        <item x="402"/>
        <item x="403"/>
        <item x="404"/>
        <item x="385"/>
        <item x="410"/>
        <item x="411"/>
        <item x="390"/>
        <item x="391"/>
        <item x="392"/>
        <item x="393"/>
        <item x="394"/>
        <item x="395"/>
        <item x="396"/>
        <item x="397"/>
        <item x="303"/>
        <item x="331"/>
        <item x="330"/>
        <item x="329"/>
        <item x="328"/>
        <item x="315"/>
        <item x="314"/>
        <item x="313"/>
        <item t="default"/>
      </items>
    </pivotField>
    <pivotField axis="axisRow" showAll="0" sortType="ascending">
      <items count="15">
        <item sd="0" x="12"/>
        <item sd="0" x="5"/>
        <item sd="0" x="11"/>
        <item sd="0" x="3"/>
        <item sd="0" x="6"/>
        <item sd="0" x="4"/>
        <item sd="0" x="0"/>
        <item sd="0" x="8"/>
        <item sd="0" x="9"/>
        <item sd="0" x="10"/>
        <item sd="0" x="7"/>
        <item sd="0" x="13"/>
        <item sd="0" x="1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"/>
  </rowFields>
  <rowItems count="15">
    <i>
      <x v="9"/>
    </i>
    <i>
      <x v="8"/>
    </i>
    <i>
      <x v="11"/>
    </i>
    <i>
      <x v="7"/>
    </i>
    <i>
      <x/>
    </i>
    <i>
      <x v="4"/>
    </i>
    <i>
      <x v="10"/>
    </i>
    <i>
      <x v="3"/>
    </i>
    <i>
      <x v="2"/>
    </i>
    <i>
      <x v="5"/>
    </i>
    <i>
      <x v="1"/>
    </i>
    <i>
      <x v="13"/>
    </i>
    <i>
      <x v="6"/>
    </i>
    <i>
      <x v="12"/>
    </i>
    <i t="grand">
      <x/>
    </i>
  </rowItems>
  <colItems count="1">
    <i/>
  </colItems>
  <dataFields count="1">
    <dataField name="Soma de Quantidade Estoque" fld="3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90A43-142B-4207-9F5B-324D74921A8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9">
    <pivotField showAll="0"/>
    <pivotField showAll="0">
      <items count="220">
        <item x="158"/>
        <item x="199"/>
        <item x="218"/>
        <item x="194"/>
        <item x="176"/>
        <item x="170"/>
        <item x="178"/>
        <item x="180"/>
        <item x="209"/>
        <item x="127"/>
        <item x="129"/>
        <item x="197"/>
        <item x="200"/>
        <item x="202"/>
        <item x="216"/>
        <item x="190"/>
        <item x="195"/>
        <item x="183"/>
        <item x="111"/>
        <item x="40"/>
        <item x="71"/>
        <item x="124"/>
        <item x="0"/>
        <item x="1"/>
        <item x="56"/>
        <item x="121"/>
        <item x="141"/>
        <item x="53"/>
        <item x="160"/>
        <item x="168"/>
        <item x="63"/>
        <item x="123"/>
        <item x="132"/>
        <item x="54"/>
        <item x="150"/>
        <item x="169"/>
        <item x="133"/>
        <item x="137"/>
        <item x="198"/>
        <item x="139"/>
        <item x="95"/>
        <item x="107"/>
        <item x="149"/>
        <item x="65"/>
        <item x="64"/>
        <item x="140"/>
        <item x="142"/>
        <item x="156"/>
        <item x="135"/>
        <item x="153"/>
        <item x="171"/>
        <item x="131"/>
        <item x="143"/>
        <item x="157"/>
        <item x="125"/>
        <item x="151"/>
        <item x="184"/>
        <item x="144"/>
        <item x="155"/>
        <item x="159"/>
        <item x="166"/>
        <item x="173"/>
        <item x="154"/>
        <item x="175"/>
        <item x="182"/>
        <item x="192"/>
        <item x="187"/>
        <item x="193"/>
        <item x="164"/>
        <item x="179"/>
        <item x="196"/>
        <item x="126"/>
        <item x="60"/>
        <item x="97"/>
        <item x="128"/>
        <item x="46"/>
        <item x="41"/>
        <item x="85"/>
        <item x="136"/>
        <item x="146"/>
        <item x="76"/>
        <item x="163"/>
        <item x="162"/>
        <item x="14"/>
        <item x="75"/>
        <item x="138"/>
        <item x="147"/>
        <item x="61"/>
        <item x="145"/>
        <item x="174"/>
        <item x="165"/>
        <item x="213"/>
        <item x="214"/>
        <item x="205"/>
        <item x="188"/>
        <item x="206"/>
        <item x="9"/>
        <item x="3"/>
        <item x="16"/>
        <item x="12"/>
        <item x="15"/>
        <item x="10"/>
        <item x="8"/>
        <item x="6"/>
        <item x="24"/>
        <item x="35"/>
        <item x="38"/>
        <item x="37"/>
        <item x="17"/>
        <item x="36"/>
        <item x="78"/>
        <item x="47"/>
        <item x="77"/>
        <item x="84"/>
        <item x="105"/>
        <item x="104"/>
        <item x="103"/>
        <item x="96"/>
        <item x="122"/>
        <item x="120"/>
        <item x="118"/>
        <item x="113"/>
        <item x="119"/>
        <item x="115"/>
        <item x="112"/>
        <item x="116"/>
        <item x="114"/>
        <item x="106"/>
        <item x="217"/>
        <item x="207"/>
        <item x="210"/>
        <item x="130"/>
        <item x="117"/>
        <item x="204"/>
        <item x="212"/>
        <item x="2"/>
        <item x="7"/>
        <item x="19"/>
        <item x="4"/>
        <item x="13"/>
        <item x="30"/>
        <item x="21"/>
        <item x="11"/>
        <item x="25"/>
        <item x="22"/>
        <item x="18"/>
        <item x="26"/>
        <item x="5"/>
        <item x="32"/>
        <item x="43"/>
        <item x="45"/>
        <item x="23"/>
        <item x="52"/>
        <item x="51"/>
        <item x="44"/>
        <item x="48"/>
        <item x="50"/>
        <item x="59"/>
        <item x="68"/>
        <item x="42"/>
        <item x="70"/>
        <item x="67"/>
        <item x="93"/>
        <item x="102"/>
        <item x="57"/>
        <item x="101"/>
        <item x="80"/>
        <item x="72"/>
        <item x="99"/>
        <item x="58"/>
        <item x="98"/>
        <item x="82"/>
        <item x="74"/>
        <item x="92"/>
        <item x="109"/>
        <item x="108"/>
        <item x="100"/>
        <item x="110"/>
        <item x="201"/>
        <item x="148"/>
        <item x="189"/>
        <item x="181"/>
        <item x="191"/>
        <item x="185"/>
        <item x="211"/>
        <item x="94"/>
        <item x="134"/>
        <item x="79"/>
        <item x="177"/>
        <item x="208"/>
        <item x="20"/>
        <item x="29"/>
        <item x="33"/>
        <item x="34"/>
        <item x="28"/>
        <item x="31"/>
        <item x="55"/>
        <item x="27"/>
        <item x="62"/>
        <item x="39"/>
        <item x="66"/>
        <item x="49"/>
        <item x="87"/>
        <item x="86"/>
        <item x="89"/>
        <item x="69"/>
        <item x="91"/>
        <item x="83"/>
        <item x="81"/>
        <item x="90"/>
        <item x="73"/>
        <item x="88"/>
        <item x="186"/>
        <item x="215"/>
        <item x="161"/>
        <item x="167"/>
        <item x="172"/>
        <item x="203"/>
        <item x="152"/>
        <item t="default"/>
      </items>
    </pivotField>
    <pivotField showAll="0">
      <items count="5">
        <item x="3"/>
        <item sd="0" x="1"/>
        <item x="2"/>
        <item sd="0" x="0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4">
        <item sd="0" x="0"/>
        <item sd="0" x="1"/>
        <item sd="0"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Participacao" fld="6" baseField="8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F98C7-1461-426F-85C1-CD386FA23BB1}" name="Tabela dinâ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H14:I17" firstHeaderRow="1" firstDataRow="1" firstDataCol="1"/>
  <pivotFields count="5">
    <pivotField showAll="0"/>
    <pivotField axis="axisRow" showAll="0">
      <items count="433">
        <item x="0"/>
        <item x="340"/>
        <item x="214"/>
        <item x="2"/>
        <item x="1"/>
        <item x="338"/>
        <item x="4"/>
        <item x="304"/>
        <item x="384"/>
        <item x="12"/>
        <item x="10"/>
        <item x="8"/>
        <item x="9"/>
        <item x="327"/>
        <item x="326"/>
        <item x="325"/>
        <item x="177"/>
        <item x="11"/>
        <item x="176"/>
        <item x="13"/>
        <item x="14"/>
        <item x="15"/>
        <item x="87"/>
        <item x="89"/>
        <item x="81"/>
        <item x="82"/>
        <item x="84"/>
        <item x="86"/>
        <item x="85"/>
        <item x="88"/>
        <item x="83"/>
        <item x="339"/>
        <item x="21"/>
        <item x="23"/>
        <item x="26"/>
        <item x="25"/>
        <item x="28"/>
        <item x="22"/>
        <item x="29"/>
        <item x="27"/>
        <item x="24"/>
        <item x="30"/>
        <item x="19"/>
        <item x="20"/>
        <item x="380"/>
        <item x="377"/>
        <item x="31"/>
        <item x="32"/>
        <item x="324"/>
        <item x="323"/>
        <item x="322"/>
        <item x="33"/>
        <item x="321"/>
        <item x="320"/>
        <item x="319"/>
        <item x="76"/>
        <item x="77"/>
        <item x="308"/>
        <item x="309"/>
        <item x="3"/>
        <item x="64"/>
        <item x="65"/>
        <item x="66"/>
        <item x="62"/>
        <item x="63"/>
        <item x="71"/>
        <item x="72"/>
        <item x="55"/>
        <item x="56"/>
        <item x="74"/>
        <item x="75"/>
        <item x="67"/>
        <item x="68"/>
        <item x="69"/>
        <item x="60"/>
        <item x="61"/>
        <item x="70"/>
        <item x="73"/>
        <item x="53"/>
        <item x="54"/>
        <item x="57"/>
        <item x="58"/>
        <item x="59"/>
        <item x="337"/>
        <item x="428"/>
        <item x="7"/>
        <item x="383"/>
        <item x="276"/>
        <item x="36"/>
        <item x="279"/>
        <item x="79"/>
        <item x="219"/>
        <item x="220"/>
        <item x="289"/>
        <item x="282"/>
        <item x="369"/>
        <item x="297"/>
        <item x="181"/>
        <item x="188"/>
        <item x="350"/>
        <item x="362"/>
        <item x="169"/>
        <item x="292"/>
        <item x="285"/>
        <item x="372"/>
        <item x="300"/>
        <item x="184"/>
        <item x="191"/>
        <item x="353"/>
        <item x="365"/>
        <item x="198"/>
        <item x="196"/>
        <item x="379"/>
        <item x="194"/>
        <item x="356"/>
        <item x="341"/>
        <item x="97"/>
        <item x="96"/>
        <item x="99"/>
        <item x="90"/>
        <item x="91"/>
        <item x="93"/>
        <item x="95"/>
        <item x="94"/>
        <item x="98"/>
        <item x="92"/>
        <item x="80"/>
        <item x="426"/>
        <item x="5"/>
        <item x="381"/>
        <item x="274"/>
        <item x="34"/>
        <item x="277"/>
        <item x="78"/>
        <item x="375"/>
        <item x="376"/>
        <item x="287"/>
        <item x="280"/>
        <item x="367"/>
        <item x="295"/>
        <item x="179"/>
        <item x="186"/>
        <item x="348"/>
        <item x="360"/>
        <item x="168"/>
        <item x="290"/>
        <item x="283"/>
        <item x="370"/>
        <item x="298"/>
        <item x="182"/>
        <item x="189"/>
        <item x="351"/>
        <item x="363"/>
        <item x="197"/>
        <item x="195"/>
        <item x="378"/>
        <item x="192"/>
        <item x="354"/>
        <item x="127"/>
        <item x="128"/>
        <item x="129"/>
        <item x="125"/>
        <item x="126"/>
        <item x="134"/>
        <item x="135"/>
        <item x="118"/>
        <item x="119"/>
        <item x="138"/>
        <item x="137"/>
        <item x="130"/>
        <item x="131"/>
        <item x="132"/>
        <item x="123"/>
        <item x="124"/>
        <item x="133"/>
        <item x="136"/>
        <item x="116"/>
        <item x="117"/>
        <item x="120"/>
        <item x="121"/>
        <item x="122"/>
        <item x="139"/>
        <item x="147"/>
        <item x="143"/>
        <item x="153"/>
        <item x="149"/>
        <item x="145"/>
        <item x="150"/>
        <item x="152"/>
        <item x="141"/>
        <item x="142"/>
        <item x="144"/>
        <item x="148"/>
        <item x="146"/>
        <item x="151"/>
        <item x="217"/>
        <item x="216"/>
        <item x="215"/>
        <item x="218"/>
        <item x="140"/>
        <item x="318"/>
        <item x="317"/>
        <item x="316"/>
        <item x="311"/>
        <item x="310"/>
        <item x="302"/>
        <item x="312"/>
        <item x="154"/>
        <item x="155"/>
        <item x="156"/>
        <item x="158"/>
        <item x="157"/>
        <item x="159"/>
        <item x="166"/>
        <item x="160"/>
        <item x="161"/>
        <item x="163"/>
        <item x="164"/>
        <item x="165"/>
        <item x="162"/>
        <item x="167"/>
        <item x="305"/>
        <item x="427"/>
        <item x="6"/>
        <item x="382"/>
        <item x="275"/>
        <item x="35"/>
        <item x="278"/>
        <item x="286"/>
        <item x="374"/>
        <item x="288"/>
        <item x="281"/>
        <item x="368"/>
        <item x="296"/>
        <item x="180"/>
        <item x="187"/>
        <item x="349"/>
        <item x="361"/>
        <item x="294"/>
        <item x="291"/>
        <item x="284"/>
        <item x="371"/>
        <item x="299"/>
        <item x="183"/>
        <item x="190"/>
        <item x="352"/>
        <item x="364"/>
        <item x="193"/>
        <item x="355"/>
        <item x="212"/>
        <item x="211"/>
        <item x="332"/>
        <item x="16"/>
        <item x="306"/>
        <item x="357"/>
        <item x="247"/>
        <item x="248"/>
        <item x="249"/>
        <item x="250"/>
        <item x="243"/>
        <item x="244"/>
        <item x="245"/>
        <item x="246"/>
        <item x="254"/>
        <item x="255"/>
        <item x="256"/>
        <item x="251"/>
        <item x="252"/>
        <item x="253"/>
        <item x="257"/>
        <item x="258"/>
        <item x="259"/>
        <item x="260"/>
        <item x="412"/>
        <item x="413"/>
        <item x="414"/>
        <item x="415"/>
        <item x="421"/>
        <item x="422"/>
        <item x="423"/>
        <item x="424"/>
        <item x="425"/>
        <item x="416"/>
        <item x="417"/>
        <item x="418"/>
        <item x="419"/>
        <item x="420"/>
        <item x="170"/>
        <item x="173"/>
        <item x="171"/>
        <item x="172"/>
        <item x="174"/>
        <item x="334"/>
        <item x="175"/>
        <item x="336"/>
        <item x="335"/>
        <item x="347"/>
        <item x="346"/>
        <item x="208"/>
        <item x="178"/>
        <item x="333"/>
        <item x="17"/>
        <item x="358"/>
        <item x="222"/>
        <item x="223"/>
        <item x="224"/>
        <item x="225"/>
        <item x="221"/>
        <item x="265"/>
        <item x="266"/>
        <item x="267"/>
        <item x="268"/>
        <item x="261"/>
        <item x="262"/>
        <item x="263"/>
        <item x="264"/>
        <item x="405"/>
        <item x="406"/>
        <item x="407"/>
        <item x="408"/>
        <item x="228"/>
        <item x="229"/>
        <item x="230"/>
        <item x="226"/>
        <item x="227"/>
        <item x="269"/>
        <item x="270"/>
        <item x="271"/>
        <item x="272"/>
        <item x="273"/>
        <item x="240"/>
        <item x="241"/>
        <item x="242"/>
        <item x="237"/>
        <item x="238"/>
        <item x="239"/>
        <item x="234"/>
        <item x="235"/>
        <item x="236"/>
        <item x="231"/>
        <item x="232"/>
        <item x="233"/>
        <item x="429"/>
        <item x="430"/>
        <item x="431"/>
        <item x="409"/>
        <item x="200"/>
        <item x="202"/>
        <item x="204"/>
        <item x="205"/>
        <item x="344"/>
        <item x="343"/>
        <item x="342"/>
        <item x="345"/>
        <item x="199"/>
        <item x="210"/>
        <item x="213"/>
        <item x="209"/>
        <item x="203"/>
        <item x="201"/>
        <item x="307"/>
        <item x="207"/>
        <item x="39"/>
        <item x="38"/>
        <item x="52"/>
        <item x="51"/>
        <item x="47"/>
        <item x="48"/>
        <item x="41"/>
        <item x="42"/>
        <item x="40"/>
        <item x="45"/>
        <item x="46"/>
        <item x="43"/>
        <item x="44"/>
        <item x="49"/>
        <item x="50"/>
        <item x="37"/>
        <item x="102"/>
        <item x="101"/>
        <item x="115"/>
        <item x="114"/>
        <item x="110"/>
        <item x="111"/>
        <item x="104"/>
        <item x="105"/>
        <item x="103"/>
        <item x="108"/>
        <item x="109"/>
        <item x="106"/>
        <item x="107"/>
        <item x="112"/>
        <item x="113"/>
        <item x="100"/>
        <item x="206"/>
        <item x="18"/>
        <item x="293"/>
        <item x="373"/>
        <item x="301"/>
        <item x="185"/>
        <item x="366"/>
        <item x="359"/>
        <item x="398"/>
        <item x="399"/>
        <item x="400"/>
        <item x="401"/>
        <item x="386"/>
        <item x="387"/>
        <item x="388"/>
        <item x="389"/>
        <item x="402"/>
        <item x="403"/>
        <item x="404"/>
        <item x="385"/>
        <item x="410"/>
        <item x="411"/>
        <item x="390"/>
        <item x="391"/>
        <item x="392"/>
        <item x="393"/>
        <item x="394"/>
        <item x="395"/>
        <item x="396"/>
        <item x="397"/>
        <item x="303"/>
        <item x="331"/>
        <item x="330"/>
        <item x="329"/>
        <item x="328"/>
        <item x="315"/>
        <item x="314"/>
        <item x="313"/>
        <item t="default"/>
      </items>
    </pivotField>
    <pivotField dataField="1" showAll="0"/>
    <pivotField showAll="0"/>
    <pivotField axis="axisRow" showAll="0">
      <items count="3">
        <item sd="0" x="0"/>
        <item sd="0" x="1"/>
        <item t="default"/>
      </items>
    </pivotField>
  </pivotFields>
  <rowFields count="2">
    <field x="4"/>
    <field x="1"/>
  </rowFields>
  <rowItems count="3">
    <i>
      <x/>
    </i>
    <i>
      <x v="1"/>
    </i>
    <i t="grand">
      <x/>
    </i>
  </rowItems>
  <colItems count="1">
    <i/>
  </colItems>
  <dataFields count="1">
    <dataField name="Contagem de EstoqueAtual" fld="2" subtotal="count" baseField="4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4DC7F-1968-40F4-AEFB-15D92F4F9E1B}" name="Tabela dinâmica4" cacheId="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H8" firstHeaderRow="1" firstDataRow="2" firstDataCol="1"/>
  <pivotFields count="6">
    <pivotField axis="axisCol" showAll="0">
      <items count="5">
        <item sd="0" x="0"/>
        <item h="1" sd="0" x="1"/>
        <item h="1" sd="0" x="2"/>
        <item h="1" sd="0" x="3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9">
        <item x="0"/>
        <item x="6"/>
        <item x="2"/>
        <item x="4"/>
        <item x="1"/>
        <item x="7"/>
        <item x="3"/>
        <item x="5"/>
        <item t="default"/>
      </items>
    </pivotField>
    <pivotField dataField="1" showAll="0">
      <items count="9">
        <item x="1"/>
        <item x="7"/>
        <item x="0"/>
        <item x="3"/>
        <item x="6"/>
        <item x="5"/>
        <item x="2"/>
        <item x="4"/>
        <item t="default"/>
      </items>
    </pivotField>
    <pivotField showAll="0"/>
    <pivotField showAll="0"/>
  </pivotFields>
  <rowFields count="1">
    <field x="-2"/>
  </rowFields>
  <rowItems count="2">
    <i>
      <x/>
    </i>
    <i i="1">
      <x v="1"/>
    </i>
  </rowItems>
  <colFields count="1">
    <field x="0"/>
  </colFields>
  <colItems count="2">
    <i>
      <x/>
    </i>
    <i t="grand">
      <x/>
    </i>
  </colItems>
  <dataFields count="2">
    <dataField name="Soma de QuantidadeVendida" fld="3" baseField="0" baseItem="0"/>
    <dataField name="Soma de QuantidadeProduzida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5ED08-B316-41D3-918D-1792A72A94A3}" name="Tabela dinâmica6" cacheId="3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G21:H23" firstHeaderRow="1" firstDataRow="1" firstDataCol="1"/>
  <pivotFields count="6">
    <pivotField showAll="0">
      <items count="5">
        <item sd="0" x="0"/>
        <item h="1" sd="0" x="1"/>
        <item h="1" sd="0" x="2"/>
        <item h="1" sd="0" x="3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9">
        <item x="0"/>
        <item x="6"/>
        <item x="2"/>
        <item x="4"/>
        <item x="1"/>
        <item x="7"/>
        <item x="3"/>
        <item x="5"/>
        <item t="default"/>
      </items>
    </pivotField>
    <pivotField dataField="1" showAll="0">
      <items count="9">
        <item x="1"/>
        <item x="7"/>
        <item x="0"/>
        <item x="3"/>
        <item x="6"/>
        <item x="5"/>
        <item x="2"/>
        <item x="4"/>
        <item t="default"/>
      </items>
    </pivotField>
    <pivotField showAll="0"/>
    <pivotField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Vendas" fld="3" baseField="0" baseItem="0"/>
    <dataField name="Produção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A2B92-3FB5-4C8F-8CD3-C1D70DED267E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2:E17" firstHeaderRow="1" firstDataRow="1" firstDataCol="1"/>
  <pivotFields count="5">
    <pivotField axis="axisRow" showAll="0">
      <items count="5">
        <item sd="0" x="3"/>
        <item sd="0" x="2"/>
        <item sd="0" x="1"/>
        <item sd="0" x="0"/>
        <item t="default" sd="0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>
      <items count="17">
        <item x="12"/>
        <item x="13"/>
        <item x="3"/>
        <item x="10"/>
        <item x="14"/>
        <item x="15"/>
        <item x="6"/>
        <item x="8"/>
        <item x="1"/>
        <item x="11"/>
        <item x="5"/>
        <item x="0"/>
        <item x="2"/>
        <item x="9"/>
        <item x="4"/>
        <item x="7"/>
        <item t="default"/>
      </items>
    </pivotField>
  </pivotFields>
  <rowFields count="2">
    <field x="0"/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QuantidadeVendida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538D012E-BF07-4CAE-98B8-46D2587ECCE9}" sourceName="Ano">
  <pivotTables>
    <pivotTable tabId="7" name="Tabela dinâmica4"/>
    <pivotTable tabId="7" name="Tabela dinâmica6"/>
  </pivotTables>
  <data>
    <tabular pivotCacheId="1004437838">
      <items count="4">
        <i x="0" s="1"/>
        <i x="1"/>
        <i x="2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A0728F5F-BFB9-49E7-A2E0-DB1E6D90D11D}" cache="SegmentaçãodeDados_Ano" caption="Ano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D1070" totalsRowShown="0">
  <autoFilter ref="A1:D1070" xr:uid="{00000000-0009-0000-0100-000001000000}"/>
  <tableColumns count="4">
    <tableColumn id="1" xr3:uid="{00000000-0010-0000-0000-000001000000}" name="ProductID"/>
    <tableColumn id="2" xr3:uid="{00000000-0010-0000-0000-000002000000}" name="Produto"/>
    <tableColumn id="3" xr3:uid="{00000000-0010-0000-0000-000003000000}" name="Localização"/>
    <tableColumn id="4" xr3:uid="{00000000-0010-0000-0000-000004000000}" name="Quantidade Estoq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13" displayName="Tabela13" ref="A1:F220" totalsRowShown="0">
  <autoFilter ref="A1:F220" xr:uid="{00000000-0009-0000-0100-000002000000}"/>
  <tableColumns count="6">
    <tableColumn id="1" xr3:uid="{00000000-0010-0000-0100-000001000000}" name="ProductID"/>
    <tableColumn id="2" xr3:uid="{00000000-0010-0000-0100-000002000000}" name="Produto"/>
    <tableColumn id="3" xr3:uid="{00000000-0010-0000-0100-000003000000}" name="Categoria"/>
    <tableColumn id="4" xr3:uid="{00000000-0010-0000-0100-000004000000}" name="EstoqueAtual"/>
    <tableColumn id="5" xr3:uid="{00000000-0010-0000-0100-000005000000}" name="StandartCost"/>
    <tableColumn id="6" xr3:uid="{00000000-0010-0000-0100-000006000000}" name="ValorEstoqu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B7F453-AE4D-4D8F-97FC-1918AC2F8E45}" name="Tabela8" displayName="Tabela8" ref="G1:I220" totalsRowShown="0">
  <autoFilter ref="G1:I220" xr:uid="{94B7F453-AE4D-4D8F-97FC-1918AC2F8E45}"/>
  <tableColumns count="3">
    <tableColumn id="1" xr3:uid="{EA705D56-32F3-4839-A4BE-C83A0D9FB82F}" name="Participacao"/>
    <tableColumn id="2" xr3:uid="{0B78CDF5-EB1A-4359-A244-A7F951DF2260}" name="ParticipacaoAcumulada">
      <calculatedColumnFormula>H1+G2</calculatedColumnFormula>
    </tableColumn>
    <tableColumn id="3" xr3:uid="{2222157B-124E-4B08-872E-2B821BA1CAC8}" name="ClasseABC">
      <calculatedColumnFormula>IF(H2&lt;=0.8,"A",IF(H2&lt;=0.95,"B","C"))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15" displayName="Tabela15" ref="A1:D9" totalsRowShown="0">
  <autoFilter ref="A1:D9" xr:uid="{00000000-0009-0000-0100-000004000000}"/>
  <tableColumns count="4">
    <tableColumn id="1" xr3:uid="{00000000-0010-0000-0300-000001000000}" name="Ano"/>
    <tableColumn id="2" xr3:uid="{00000000-0010-0000-0300-000002000000}" name="Categoria"/>
    <tableColumn id="3" xr3:uid="{00000000-0010-0000-0300-000003000000}" name="QuantidadeProduzida"/>
    <tableColumn id="4" xr3:uid="{00000000-0010-0000-0300-000004000000}" name="QuantidadeVendid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1BA96A-A570-4EE0-80B3-85335A46329B}" name="Tabela7" displayName="Tabela7" ref="E1:F9" totalsRowShown="0">
  <autoFilter ref="E1:F9" xr:uid="{1A1BA96A-A570-4EE0-80B3-85335A46329B}"/>
  <tableColumns count="2">
    <tableColumn id="1" xr3:uid="{1A8945CF-B906-4956-A698-91DA1BE8F615}" name="Saldo">
      <calculatedColumnFormula>C2-D2</calculatedColumnFormula>
    </tableColumn>
    <tableColumn id="2" xr3:uid="{45C10257-612B-46AD-842A-35CE76919797}" name="PercentualAtendimento">
      <calculatedColumnFormula>C2/D2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16" displayName="Tabela16" ref="A1:E433" totalsRowShown="0">
  <autoFilter ref="A1:E433" xr:uid="{00000000-0009-0000-0100-000005000000}"/>
  <tableColumns count="5">
    <tableColumn id="1" xr3:uid="{00000000-0010-0000-0400-000001000000}" name="ProductID"/>
    <tableColumn id="2" xr3:uid="{00000000-0010-0000-0400-000002000000}" name="Produto"/>
    <tableColumn id="3" xr3:uid="{00000000-0010-0000-0400-000003000000}" name="EstoqueAtual"/>
    <tableColumn id="4" xr3:uid="{00000000-0010-0000-0400-000004000000}" name="ReorderPoint"/>
    <tableColumn id="5" xr3:uid="{00000000-0010-0000-0400-000005000000}" name="Situaca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2356-0451-4472-B12B-BDD9B18E391A}">
  <dimension ref="A1"/>
  <sheetViews>
    <sheetView tabSelected="1" topLeftCell="A11" zoomScale="87" zoomScaleNormal="87" workbookViewId="0">
      <selection activeCell="Y23" sqref="Y23"/>
    </sheetView>
  </sheetViews>
  <sheetFormatPr defaultRowHeight="15" x14ac:dyDescent="0.25"/>
  <cols>
    <col min="1" max="16384" width="9.140625" style="5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70"/>
  <sheetViews>
    <sheetView topLeftCell="A2" workbookViewId="0">
      <selection sqref="A1:D1070"/>
    </sheetView>
  </sheetViews>
  <sheetFormatPr defaultRowHeight="15" x14ac:dyDescent="0.25"/>
  <cols>
    <col min="1" max="1" width="11.85546875" customWidth="1"/>
    <col min="2" max="2" width="30.7109375" bestFit="1" customWidth="1"/>
    <col min="3" max="3" width="22.140625" bestFit="1" customWidth="1"/>
    <col min="4" max="4" width="2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324</v>
      </c>
    </row>
    <row r="3" spans="1:4" x14ac:dyDescent="0.25">
      <c r="A3">
        <v>1</v>
      </c>
      <c r="B3" t="s">
        <v>4</v>
      </c>
      <c r="C3" t="s">
        <v>6</v>
      </c>
      <c r="D3">
        <v>353</v>
      </c>
    </row>
    <row r="4" spans="1:4" x14ac:dyDescent="0.25">
      <c r="A4">
        <v>1</v>
      </c>
      <c r="B4" t="s">
        <v>4</v>
      </c>
      <c r="C4" t="s">
        <v>7</v>
      </c>
      <c r="D4">
        <v>408</v>
      </c>
    </row>
    <row r="5" spans="1:4" x14ac:dyDescent="0.25">
      <c r="A5">
        <v>2</v>
      </c>
      <c r="B5" t="s">
        <v>8</v>
      </c>
      <c r="C5" t="s">
        <v>5</v>
      </c>
      <c r="D5">
        <v>318</v>
      </c>
    </row>
    <row r="6" spans="1:4" x14ac:dyDescent="0.25">
      <c r="A6">
        <v>2</v>
      </c>
      <c r="B6" t="s">
        <v>8</v>
      </c>
      <c r="C6" t="s">
        <v>6</v>
      </c>
      <c r="D6">
        <v>364</v>
      </c>
    </row>
    <row r="7" spans="1:4" x14ac:dyDescent="0.25">
      <c r="A7">
        <v>2</v>
      </c>
      <c r="B7" t="s">
        <v>8</v>
      </c>
      <c r="C7" t="s">
        <v>7</v>
      </c>
      <c r="D7">
        <v>427</v>
      </c>
    </row>
    <row r="8" spans="1:4" x14ac:dyDescent="0.25">
      <c r="A8">
        <v>3</v>
      </c>
      <c r="B8" t="s">
        <v>9</v>
      </c>
      <c r="C8" t="s">
        <v>5</v>
      </c>
      <c r="D8">
        <v>443</v>
      </c>
    </row>
    <row r="9" spans="1:4" x14ac:dyDescent="0.25">
      <c r="A9">
        <v>3</v>
      </c>
      <c r="B9" t="s">
        <v>9</v>
      </c>
      <c r="C9" t="s">
        <v>6</v>
      </c>
      <c r="D9">
        <v>324</v>
      </c>
    </row>
    <row r="10" spans="1:4" x14ac:dyDescent="0.25">
      <c r="A10">
        <v>3</v>
      </c>
      <c r="B10" t="s">
        <v>9</v>
      </c>
      <c r="C10" t="s">
        <v>7</v>
      </c>
      <c r="D10">
        <v>585</v>
      </c>
    </row>
    <row r="11" spans="1:4" x14ac:dyDescent="0.25">
      <c r="A11">
        <v>4</v>
      </c>
      <c r="B11" t="s">
        <v>10</v>
      </c>
      <c r="C11" t="s">
        <v>5</v>
      </c>
      <c r="D11">
        <v>422</v>
      </c>
    </row>
    <row r="12" spans="1:4" x14ac:dyDescent="0.25">
      <c r="A12">
        <v>4</v>
      </c>
      <c r="B12" t="s">
        <v>10</v>
      </c>
      <c r="C12" t="s">
        <v>6</v>
      </c>
      <c r="D12">
        <v>388</v>
      </c>
    </row>
    <row r="13" spans="1:4" x14ac:dyDescent="0.25">
      <c r="A13">
        <v>4</v>
      </c>
      <c r="B13" t="s">
        <v>10</v>
      </c>
      <c r="C13" t="s">
        <v>7</v>
      </c>
      <c r="D13">
        <v>512</v>
      </c>
    </row>
    <row r="14" spans="1:4" x14ac:dyDescent="0.25">
      <c r="A14">
        <v>316</v>
      </c>
      <c r="B14" t="s">
        <v>11</v>
      </c>
      <c r="C14" t="s">
        <v>12</v>
      </c>
      <c r="D14">
        <v>388</v>
      </c>
    </row>
    <row r="15" spans="1:4" x14ac:dyDescent="0.25">
      <c r="A15">
        <v>316</v>
      </c>
      <c r="B15" t="s">
        <v>11</v>
      </c>
      <c r="C15" t="s">
        <v>13</v>
      </c>
      <c r="D15">
        <v>532</v>
      </c>
    </row>
    <row r="16" spans="1:4" x14ac:dyDescent="0.25">
      <c r="A16">
        <v>316</v>
      </c>
      <c r="B16" t="s">
        <v>11</v>
      </c>
      <c r="C16" t="s">
        <v>6</v>
      </c>
      <c r="D16">
        <v>441</v>
      </c>
    </row>
    <row r="17" spans="1:4" x14ac:dyDescent="0.25">
      <c r="A17">
        <v>317</v>
      </c>
      <c r="B17" t="s">
        <v>14</v>
      </c>
      <c r="C17" t="s">
        <v>13</v>
      </c>
      <c r="D17">
        <v>158</v>
      </c>
    </row>
    <row r="18" spans="1:4" x14ac:dyDescent="0.25">
      <c r="A18">
        <v>317</v>
      </c>
      <c r="B18" t="s">
        <v>14</v>
      </c>
      <c r="C18" t="s">
        <v>6</v>
      </c>
      <c r="D18">
        <v>152</v>
      </c>
    </row>
    <row r="19" spans="1:4" x14ac:dyDescent="0.25">
      <c r="A19">
        <v>317</v>
      </c>
      <c r="B19" t="s">
        <v>14</v>
      </c>
      <c r="C19" t="s">
        <v>7</v>
      </c>
      <c r="D19">
        <v>283</v>
      </c>
    </row>
    <row r="20" spans="1:4" x14ac:dyDescent="0.25">
      <c r="A20">
        <v>318</v>
      </c>
      <c r="B20" t="s">
        <v>15</v>
      </c>
      <c r="C20" t="s">
        <v>13</v>
      </c>
      <c r="D20">
        <v>171</v>
      </c>
    </row>
    <row r="21" spans="1:4" x14ac:dyDescent="0.25">
      <c r="A21">
        <v>318</v>
      </c>
      <c r="B21" t="s">
        <v>15</v>
      </c>
      <c r="C21" t="s">
        <v>6</v>
      </c>
      <c r="D21">
        <v>132</v>
      </c>
    </row>
    <row r="22" spans="1:4" x14ac:dyDescent="0.25">
      <c r="A22">
        <v>318</v>
      </c>
      <c r="B22" t="s">
        <v>15</v>
      </c>
      <c r="C22" t="s">
        <v>7</v>
      </c>
      <c r="D22">
        <v>136</v>
      </c>
    </row>
    <row r="23" spans="1:4" x14ac:dyDescent="0.25">
      <c r="A23">
        <v>319</v>
      </c>
      <c r="B23" t="s">
        <v>16</v>
      </c>
      <c r="C23" t="s">
        <v>13</v>
      </c>
      <c r="D23">
        <v>184</v>
      </c>
    </row>
    <row r="24" spans="1:4" x14ac:dyDescent="0.25">
      <c r="A24">
        <v>319</v>
      </c>
      <c r="B24" t="s">
        <v>16</v>
      </c>
      <c r="C24" t="s">
        <v>6</v>
      </c>
      <c r="D24">
        <v>305</v>
      </c>
    </row>
    <row r="25" spans="1:4" x14ac:dyDescent="0.25">
      <c r="A25">
        <v>319</v>
      </c>
      <c r="B25" t="s">
        <v>16</v>
      </c>
      <c r="C25" t="s">
        <v>7</v>
      </c>
      <c r="D25">
        <v>308</v>
      </c>
    </row>
    <row r="26" spans="1:4" x14ac:dyDescent="0.25">
      <c r="A26">
        <v>320</v>
      </c>
      <c r="B26" t="s">
        <v>17</v>
      </c>
      <c r="C26" t="s">
        <v>13</v>
      </c>
      <c r="D26">
        <v>372</v>
      </c>
    </row>
    <row r="27" spans="1:4" x14ac:dyDescent="0.25">
      <c r="A27">
        <v>320</v>
      </c>
      <c r="B27" t="s">
        <v>17</v>
      </c>
      <c r="C27" t="s">
        <v>6</v>
      </c>
      <c r="D27">
        <v>283</v>
      </c>
    </row>
    <row r="28" spans="1:4" x14ac:dyDescent="0.25">
      <c r="A28">
        <v>320</v>
      </c>
      <c r="B28" t="s">
        <v>17</v>
      </c>
      <c r="C28" t="s">
        <v>7</v>
      </c>
      <c r="D28">
        <v>481</v>
      </c>
    </row>
    <row r="29" spans="1:4" x14ac:dyDescent="0.25">
      <c r="A29">
        <v>321</v>
      </c>
      <c r="B29" t="s">
        <v>18</v>
      </c>
      <c r="C29" t="s">
        <v>13</v>
      </c>
      <c r="D29">
        <v>540</v>
      </c>
    </row>
    <row r="30" spans="1:4" x14ac:dyDescent="0.25">
      <c r="A30">
        <v>321</v>
      </c>
      <c r="B30" t="s">
        <v>18</v>
      </c>
      <c r="C30" t="s">
        <v>6</v>
      </c>
      <c r="D30">
        <v>641</v>
      </c>
    </row>
    <row r="31" spans="1:4" x14ac:dyDescent="0.25">
      <c r="A31">
        <v>321</v>
      </c>
      <c r="B31" t="s">
        <v>18</v>
      </c>
      <c r="C31" t="s">
        <v>7</v>
      </c>
      <c r="D31">
        <v>569</v>
      </c>
    </row>
    <row r="32" spans="1:4" x14ac:dyDescent="0.25">
      <c r="A32">
        <v>322</v>
      </c>
      <c r="B32" t="s">
        <v>19</v>
      </c>
      <c r="C32" t="s">
        <v>13</v>
      </c>
      <c r="D32">
        <v>587</v>
      </c>
    </row>
    <row r="33" spans="1:4" x14ac:dyDescent="0.25">
      <c r="A33">
        <v>322</v>
      </c>
      <c r="B33" t="s">
        <v>19</v>
      </c>
      <c r="C33" t="s">
        <v>6</v>
      </c>
      <c r="D33">
        <v>475</v>
      </c>
    </row>
    <row r="34" spans="1:4" x14ac:dyDescent="0.25">
      <c r="A34">
        <v>322</v>
      </c>
      <c r="B34" t="s">
        <v>19</v>
      </c>
      <c r="C34" t="s">
        <v>7</v>
      </c>
      <c r="D34">
        <v>622</v>
      </c>
    </row>
    <row r="35" spans="1:4" x14ac:dyDescent="0.25">
      <c r="A35">
        <v>323</v>
      </c>
      <c r="B35" t="s">
        <v>20</v>
      </c>
      <c r="C35" t="s">
        <v>13</v>
      </c>
      <c r="D35">
        <v>568</v>
      </c>
    </row>
    <row r="36" spans="1:4" x14ac:dyDescent="0.25">
      <c r="A36">
        <v>323</v>
      </c>
      <c r="B36" t="s">
        <v>20</v>
      </c>
      <c r="C36" t="s">
        <v>6</v>
      </c>
      <c r="D36">
        <v>513</v>
      </c>
    </row>
    <row r="37" spans="1:4" x14ac:dyDescent="0.25">
      <c r="A37">
        <v>323</v>
      </c>
      <c r="B37" t="s">
        <v>20</v>
      </c>
      <c r="C37" t="s">
        <v>7</v>
      </c>
      <c r="D37">
        <v>603</v>
      </c>
    </row>
    <row r="38" spans="1:4" x14ac:dyDescent="0.25">
      <c r="A38">
        <v>324</v>
      </c>
      <c r="B38" t="s">
        <v>21</v>
      </c>
      <c r="C38" t="s">
        <v>13</v>
      </c>
      <c r="D38">
        <v>568</v>
      </c>
    </row>
    <row r="39" spans="1:4" x14ac:dyDescent="0.25">
      <c r="A39">
        <v>324</v>
      </c>
      <c r="B39" t="s">
        <v>21</v>
      </c>
      <c r="C39" t="s">
        <v>6</v>
      </c>
      <c r="D39">
        <v>476</v>
      </c>
    </row>
    <row r="40" spans="1:4" x14ac:dyDescent="0.25">
      <c r="A40">
        <v>324</v>
      </c>
      <c r="B40" t="s">
        <v>21</v>
      </c>
      <c r="C40" t="s">
        <v>7</v>
      </c>
      <c r="D40">
        <v>585</v>
      </c>
    </row>
    <row r="41" spans="1:4" x14ac:dyDescent="0.25">
      <c r="A41">
        <v>325</v>
      </c>
      <c r="B41" t="s">
        <v>22</v>
      </c>
      <c r="C41" t="s">
        <v>23</v>
      </c>
      <c r="D41">
        <v>641</v>
      </c>
    </row>
    <row r="42" spans="1:4" x14ac:dyDescent="0.25">
      <c r="A42">
        <v>325</v>
      </c>
      <c r="B42" t="s">
        <v>22</v>
      </c>
      <c r="C42" t="s">
        <v>5</v>
      </c>
      <c r="D42">
        <v>540</v>
      </c>
    </row>
    <row r="43" spans="1:4" x14ac:dyDescent="0.25">
      <c r="A43">
        <v>325</v>
      </c>
      <c r="B43" t="s">
        <v>22</v>
      </c>
      <c r="C43" t="s">
        <v>7</v>
      </c>
      <c r="D43">
        <v>569</v>
      </c>
    </row>
    <row r="44" spans="1:4" x14ac:dyDescent="0.25">
      <c r="A44">
        <v>326</v>
      </c>
      <c r="B44" t="s">
        <v>24</v>
      </c>
      <c r="C44" t="s">
        <v>23</v>
      </c>
      <c r="D44">
        <v>475</v>
      </c>
    </row>
    <row r="45" spans="1:4" x14ac:dyDescent="0.25">
      <c r="A45">
        <v>326</v>
      </c>
      <c r="B45" t="s">
        <v>24</v>
      </c>
      <c r="C45" t="s">
        <v>5</v>
      </c>
      <c r="D45">
        <v>587</v>
      </c>
    </row>
    <row r="46" spans="1:4" x14ac:dyDescent="0.25">
      <c r="A46">
        <v>326</v>
      </c>
      <c r="B46" t="s">
        <v>24</v>
      </c>
      <c r="C46" t="s">
        <v>7</v>
      </c>
      <c r="D46">
        <v>622</v>
      </c>
    </row>
    <row r="47" spans="1:4" x14ac:dyDescent="0.25">
      <c r="A47">
        <v>327</v>
      </c>
      <c r="B47" t="s">
        <v>25</v>
      </c>
      <c r="C47" t="s">
        <v>12</v>
      </c>
      <c r="D47">
        <v>443</v>
      </c>
    </row>
    <row r="48" spans="1:4" x14ac:dyDescent="0.25">
      <c r="A48">
        <v>327</v>
      </c>
      <c r="B48" t="s">
        <v>25</v>
      </c>
      <c r="C48" t="s">
        <v>13</v>
      </c>
      <c r="D48">
        <v>408</v>
      </c>
    </row>
    <row r="49" spans="1:4" x14ac:dyDescent="0.25">
      <c r="A49">
        <v>327</v>
      </c>
      <c r="B49" t="s">
        <v>25</v>
      </c>
      <c r="C49" t="s">
        <v>6</v>
      </c>
      <c r="D49">
        <v>513</v>
      </c>
    </row>
    <row r="50" spans="1:4" x14ac:dyDescent="0.25">
      <c r="A50">
        <v>328</v>
      </c>
      <c r="B50" t="s">
        <v>26</v>
      </c>
      <c r="C50" t="s">
        <v>12</v>
      </c>
      <c r="D50">
        <v>585</v>
      </c>
    </row>
    <row r="51" spans="1:4" x14ac:dyDescent="0.25">
      <c r="A51">
        <v>328</v>
      </c>
      <c r="B51" t="s">
        <v>26</v>
      </c>
      <c r="C51" t="s">
        <v>13</v>
      </c>
      <c r="D51">
        <v>568</v>
      </c>
    </row>
    <row r="52" spans="1:4" x14ac:dyDescent="0.25">
      <c r="A52">
        <v>328</v>
      </c>
      <c r="B52" t="s">
        <v>26</v>
      </c>
      <c r="C52" t="s">
        <v>6</v>
      </c>
      <c r="D52">
        <v>476</v>
      </c>
    </row>
    <row r="53" spans="1:4" x14ac:dyDescent="0.25">
      <c r="A53">
        <v>329</v>
      </c>
      <c r="B53" t="s">
        <v>27</v>
      </c>
      <c r="C53" t="s">
        <v>12</v>
      </c>
      <c r="D53">
        <v>576</v>
      </c>
    </row>
    <row r="54" spans="1:4" x14ac:dyDescent="0.25">
      <c r="A54">
        <v>329</v>
      </c>
      <c r="B54" t="s">
        <v>27</v>
      </c>
      <c r="C54" t="s">
        <v>13</v>
      </c>
      <c r="D54">
        <v>558</v>
      </c>
    </row>
    <row r="55" spans="1:4" x14ac:dyDescent="0.25">
      <c r="A55">
        <v>329</v>
      </c>
      <c r="B55" t="s">
        <v>27</v>
      </c>
      <c r="C55" t="s">
        <v>6</v>
      </c>
      <c r="D55">
        <v>467</v>
      </c>
    </row>
    <row r="56" spans="1:4" x14ac:dyDescent="0.25">
      <c r="A56">
        <v>330</v>
      </c>
      <c r="B56" t="s">
        <v>28</v>
      </c>
      <c r="C56" t="s">
        <v>12</v>
      </c>
      <c r="D56">
        <v>566</v>
      </c>
    </row>
    <row r="57" spans="1:4" x14ac:dyDescent="0.25">
      <c r="A57">
        <v>330</v>
      </c>
      <c r="B57" t="s">
        <v>28</v>
      </c>
      <c r="C57" t="s">
        <v>13</v>
      </c>
      <c r="D57">
        <v>548</v>
      </c>
    </row>
    <row r="58" spans="1:4" x14ac:dyDescent="0.25">
      <c r="A58">
        <v>330</v>
      </c>
      <c r="B58" t="s">
        <v>28</v>
      </c>
      <c r="C58" t="s">
        <v>6</v>
      </c>
      <c r="D58">
        <v>457</v>
      </c>
    </row>
    <row r="59" spans="1:4" x14ac:dyDescent="0.25">
      <c r="A59">
        <v>331</v>
      </c>
      <c r="B59" t="s">
        <v>29</v>
      </c>
      <c r="C59" t="s">
        <v>12</v>
      </c>
      <c r="D59">
        <v>441</v>
      </c>
    </row>
    <row r="60" spans="1:4" x14ac:dyDescent="0.25">
      <c r="A60">
        <v>331</v>
      </c>
      <c r="B60" t="s">
        <v>29</v>
      </c>
      <c r="C60" t="s">
        <v>13</v>
      </c>
      <c r="D60">
        <v>574</v>
      </c>
    </row>
    <row r="61" spans="1:4" x14ac:dyDescent="0.25">
      <c r="A61">
        <v>331</v>
      </c>
      <c r="B61" t="s">
        <v>29</v>
      </c>
      <c r="C61" t="s">
        <v>6</v>
      </c>
      <c r="D61">
        <v>390</v>
      </c>
    </row>
    <row r="62" spans="1:4" x14ac:dyDescent="0.25">
      <c r="A62">
        <v>332</v>
      </c>
      <c r="B62" t="s">
        <v>30</v>
      </c>
      <c r="C62" t="s">
        <v>12</v>
      </c>
      <c r="D62">
        <v>233</v>
      </c>
    </row>
    <row r="63" spans="1:4" x14ac:dyDescent="0.25">
      <c r="A63">
        <v>332</v>
      </c>
      <c r="B63" t="s">
        <v>30</v>
      </c>
      <c r="C63" t="s">
        <v>13</v>
      </c>
      <c r="D63">
        <v>344</v>
      </c>
    </row>
    <row r="64" spans="1:4" x14ac:dyDescent="0.25">
      <c r="A64">
        <v>332</v>
      </c>
      <c r="B64" t="s">
        <v>30</v>
      </c>
      <c r="C64" t="s">
        <v>6</v>
      </c>
      <c r="D64">
        <v>267</v>
      </c>
    </row>
    <row r="65" spans="1:4" x14ac:dyDescent="0.25">
      <c r="A65">
        <v>341</v>
      </c>
      <c r="B65" t="s">
        <v>31</v>
      </c>
      <c r="C65" t="s">
        <v>23</v>
      </c>
      <c r="D65">
        <v>339</v>
      </c>
    </row>
    <row r="66" spans="1:4" x14ac:dyDescent="0.25">
      <c r="A66">
        <v>341</v>
      </c>
      <c r="B66" t="s">
        <v>31</v>
      </c>
      <c r="C66" t="s">
        <v>6</v>
      </c>
      <c r="D66">
        <v>392</v>
      </c>
    </row>
    <row r="67" spans="1:4" x14ac:dyDescent="0.25">
      <c r="A67">
        <v>341</v>
      </c>
      <c r="B67" t="s">
        <v>31</v>
      </c>
      <c r="C67" t="s">
        <v>7</v>
      </c>
      <c r="D67">
        <v>372</v>
      </c>
    </row>
    <row r="68" spans="1:4" x14ac:dyDescent="0.25">
      <c r="A68">
        <v>342</v>
      </c>
      <c r="B68" t="s">
        <v>32</v>
      </c>
      <c r="C68" t="s">
        <v>23</v>
      </c>
      <c r="D68">
        <v>336</v>
      </c>
    </row>
    <row r="69" spans="1:4" x14ac:dyDescent="0.25">
      <c r="A69">
        <v>342</v>
      </c>
      <c r="B69" t="s">
        <v>32</v>
      </c>
      <c r="C69" t="s">
        <v>6</v>
      </c>
      <c r="D69">
        <v>388</v>
      </c>
    </row>
    <row r="70" spans="1:4" x14ac:dyDescent="0.25">
      <c r="A70">
        <v>342</v>
      </c>
      <c r="B70" t="s">
        <v>32</v>
      </c>
      <c r="C70" t="s">
        <v>7</v>
      </c>
      <c r="D70">
        <v>369</v>
      </c>
    </row>
    <row r="71" spans="1:4" x14ac:dyDescent="0.25">
      <c r="A71">
        <v>343</v>
      </c>
      <c r="B71" t="s">
        <v>33</v>
      </c>
      <c r="C71" t="s">
        <v>23</v>
      </c>
      <c r="D71">
        <v>499</v>
      </c>
    </row>
    <row r="72" spans="1:4" x14ac:dyDescent="0.25">
      <c r="A72">
        <v>343</v>
      </c>
      <c r="B72" t="s">
        <v>33</v>
      </c>
      <c r="C72" t="s">
        <v>6</v>
      </c>
      <c r="D72">
        <v>606</v>
      </c>
    </row>
    <row r="73" spans="1:4" x14ac:dyDescent="0.25">
      <c r="A73">
        <v>343</v>
      </c>
      <c r="B73" t="s">
        <v>33</v>
      </c>
      <c r="C73" t="s">
        <v>7</v>
      </c>
      <c r="D73">
        <v>568</v>
      </c>
    </row>
    <row r="74" spans="1:4" x14ac:dyDescent="0.25">
      <c r="A74">
        <v>344</v>
      </c>
      <c r="B74" t="s">
        <v>34</v>
      </c>
      <c r="C74" t="s">
        <v>23</v>
      </c>
      <c r="D74">
        <v>382</v>
      </c>
    </row>
    <row r="75" spans="1:4" x14ac:dyDescent="0.25">
      <c r="A75">
        <v>344</v>
      </c>
      <c r="B75" t="s">
        <v>34</v>
      </c>
      <c r="C75" t="s">
        <v>6</v>
      </c>
      <c r="D75">
        <v>332</v>
      </c>
    </row>
    <row r="76" spans="1:4" x14ac:dyDescent="0.25">
      <c r="A76">
        <v>344</v>
      </c>
      <c r="B76" t="s">
        <v>34</v>
      </c>
      <c r="C76" t="s">
        <v>7</v>
      </c>
      <c r="D76">
        <v>358</v>
      </c>
    </row>
    <row r="77" spans="1:4" x14ac:dyDescent="0.25">
      <c r="A77">
        <v>345</v>
      </c>
      <c r="B77" t="s">
        <v>35</v>
      </c>
      <c r="C77" t="s">
        <v>23</v>
      </c>
      <c r="D77">
        <v>300</v>
      </c>
    </row>
    <row r="78" spans="1:4" x14ac:dyDescent="0.25">
      <c r="A78">
        <v>345</v>
      </c>
      <c r="B78" t="s">
        <v>35</v>
      </c>
      <c r="C78" t="s">
        <v>6</v>
      </c>
      <c r="D78">
        <v>315</v>
      </c>
    </row>
    <row r="79" spans="1:4" x14ac:dyDescent="0.25">
      <c r="A79">
        <v>345</v>
      </c>
      <c r="B79" t="s">
        <v>35</v>
      </c>
      <c r="C79" t="s">
        <v>7</v>
      </c>
      <c r="D79">
        <v>321</v>
      </c>
    </row>
    <row r="80" spans="1:4" x14ac:dyDescent="0.25">
      <c r="A80">
        <v>346</v>
      </c>
      <c r="B80" t="s">
        <v>36</v>
      </c>
      <c r="C80" t="s">
        <v>23</v>
      </c>
      <c r="D80">
        <v>641</v>
      </c>
    </row>
    <row r="81" spans="1:4" x14ac:dyDescent="0.25">
      <c r="A81">
        <v>346</v>
      </c>
      <c r="B81" t="s">
        <v>36</v>
      </c>
      <c r="C81" t="s">
        <v>6</v>
      </c>
      <c r="D81">
        <v>476</v>
      </c>
    </row>
    <row r="82" spans="1:4" x14ac:dyDescent="0.25">
      <c r="A82">
        <v>346</v>
      </c>
      <c r="B82" t="s">
        <v>36</v>
      </c>
      <c r="C82" t="s">
        <v>7</v>
      </c>
      <c r="D82">
        <v>585</v>
      </c>
    </row>
    <row r="83" spans="1:4" x14ac:dyDescent="0.25">
      <c r="A83">
        <v>347</v>
      </c>
      <c r="B83" t="s">
        <v>37</v>
      </c>
      <c r="C83" t="s">
        <v>23</v>
      </c>
      <c r="D83">
        <v>332</v>
      </c>
    </row>
    <row r="84" spans="1:4" x14ac:dyDescent="0.25">
      <c r="A84">
        <v>347</v>
      </c>
      <c r="B84" t="s">
        <v>37</v>
      </c>
      <c r="C84" t="s">
        <v>6</v>
      </c>
      <c r="D84">
        <v>246</v>
      </c>
    </row>
    <row r="85" spans="1:4" x14ac:dyDescent="0.25">
      <c r="A85">
        <v>347</v>
      </c>
      <c r="B85" t="s">
        <v>37</v>
      </c>
      <c r="C85" t="s">
        <v>7</v>
      </c>
      <c r="D85">
        <v>318</v>
      </c>
    </row>
    <row r="86" spans="1:4" x14ac:dyDescent="0.25">
      <c r="A86">
        <v>348</v>
      </c>
      <c r="B86" t="s">
        <v>38</v>
      </c>
      <c r="C86" t="s">
        <v>23</v>
      </c>
      <c r="D86">
        <v>337</v>
      </c>
    </row>
    <row r="87" spans="1:4" x14ac:dyDescent="0.25">
      <c r="A87">
        <v>348</v>
      </c>
      <c r="B87" t="s">
        <v>38</v>
      </c>
      <c r="C87" t="s">
        <v>6</v>
      </c>
      <c r="D87">
        <v>251</v>
      </c>
    </row>
    <row r="88" spans="1:4" x14ac:dyDescent="0.25">
      <c r="A88">
        <v>348</v>
      </c>
      <c r="B88" t="s">
        <v>38</v>
      </c>
      <c r="C88" t="s">
        <v>7</v>
      </c>
      <c r="D88">
        <v>323</v>
      </c>
    </row>
    <row r="89" spans="1:4" x14ac:dyDescent="0.25">
      <c r="A89">
        <v>349</v>
      </c>
      <c r="B89" t="s">
        <v>39</v>
      </c>
      <c r="C89" t="s">
        <v>23</v>
      </c>
      <c r="D89">
        <v>342</v>
      </c>
    </row>
    <row r="90" spans="1:4" x14ac:dyDescent="0.25">
      <c r="A90">
        <v>349</v>
      </c>
      <c r="B90" t="s">
        <v>39</v>
      </c>
      <c r="C90" t="s">
        <v>6</v>
      </c>
      <c r="D90">
        <v>256</v>
      </c>
    </row>
    <row r="91" spans="1:4" x14ac:dyDescent="0.25">
      <c r="A91">
        <v>349</v>
      </c>
      <c r="B91" t="s">
        <v>39</v>
      </c>
      <c r="C91" t="s">
        <v>7</v>
      </c>
      <c r="D91">
        <v>328</v>
      </c>
    </row>
    <row r="92" spans="1:4" x14ac:dyDescent="0.25">
      <c r="A92">
        <v>350</v>
      </c>
      <c r="B92" t="s">
        <v>40</v>
      </c>
      <c r="C92" t="s">
        <v>12</v>
      </c>
      <c r="D92">
        <v>406</v>
      </c>
    </row>
    <row r="93" spans="1:4" x14ac:dyDescent="0.25">
      <c r="A93">
        <v>350</v>
      </c>
      <c r="B93" t="s">
        <v>40</v>
      </c>
      <c r="C93" t="s">
        <v>13</v>
      </c>
      <c r="D93">
        <v>622</v>
      </c>
    </row>
    <row r="94" spans="1:4" x14ac:dyDescent="0.25">
      <c r="A94">
        <v>350</v>
      </c>
      <c r="B94" t="s">
        <v>40</v>
      </c>
      <c r="C94" t="s">
        <v>6</v>
      </c>
      <c r="D94">
        <v>313</v>
      </c>
    </row>
    <row r="95" spans="1:4" x14ac:dyDescent="0.25">
      <c r="A95">
        <v>351</v>
      </c>
      <c r="B95" t="s">
        <v>41</v>
      </c>
      <c r="C95" t="s">
        <v>12</v>
      </c>
      <c r="D95">
        <v>281</v>
      </c>
    </row>
    <row r="96" spans="1:4" x14ac:dyDescent="0.25">
      <c r="A96">
        <v>351</v>
      </c>
      <c r="B96" t="s">
        <v>41</v>
      </c>
      <c r="C96" t="s">
        <v>13</v>
      </c>
      <c r="D96">
        <v>179</v>
      </c>
    </row>
    <row r="97" spans="1:4" x14ac:dyDescent="0.25">
      <c r="A97">
        <v>351</v>
      </c>
      <c r="B97" t="s">
        <v>41</v>
      </c>
      <c r="C97" t="s">
        <v>6</v>
      </c>
      <c r="D97">
        <v>145</v>
      </c>
    </row>
    <row r="98" spans="1:4" x14ac:dyDescent="0.25">
      <c r="A98">
        <v>352</v>
      </c>
      <c r="B98" t="s">
        <v>42</v>
      </c>
      <c r="C98" t="s">
        <v>12</v>
      </c>
      <c r="D98">
        <v>278</v>
      </c>
    </row>
    <row r="99" spans="1:4" x14ac:dyDescent="0.25">
      <c r="A99">
        <v>352</v>
      </c>
      <c r="B99" t="s">
        <v>42</v>
      </c>
      <c r="C99" t="s">
        <v>13</v>
      </c>
      <c r="D99">
        <v>300</v>
      </c>
    </row>
    <row r="100" spans="1:4" x14ac:dyDescent="0.25">
      <c r="A100">
        <v>352</v>
      </c>
      <c r="B100" t="s">
        <v>42</v>
      </c>
      <c r="C100" t="s">
        <v>6</v>
      </c>
      <c r="D100">
        <v>195</v>
      </c>
    </row>
    <row r="101" spans="1:4" x14ac:dyDescent="0.25">
      <c r="A101">
        <v>355</v>
      </c>
      <c r="B101" t="s">
        <v>43</v>
      </c>
      <c r="C101" t="s">
        <v>5</v>
      </c>
      <c r="D101">
        <v>257</v>
      </c>
    </row>
    <row r="102" spans="1:4" x14ac:dyDescent="0.25">
      <c r="A102">
        <v>355</v>
      </c>
      <c r="B102" t="s">
        <v>43</v>
      </c>
      <c r="C102" t="s">
        <v>6</v>
      </c>
      <c r="D102">
        <v>289</v>
      </c>
    </row>
    <row r="103" spans="1:4" x14ac:dyDescent="0.25">
      <c r="A103">
        <v>355</v>
      </c>
      <c r="B103" t="s">
        <v>43</v>
      </c>
      <c r="C103" t="s">
        <v>7</v>
      </c>
      <c r="D103">
        <v>276</v>
      </c>
    </row>
    <row r="104" spans="1:4" x14ac:dyDescent="0.25">
      <c r="A104">
        <v>356</v>
      </c>
      <c r="B104" t="s">
        <v>44</v>
      </c>
      <c r="C104" t="s">
        <v>5</v>
      </c>
      <c r="D104">
        <v>243</v>
      </c>
    </row>
    <row r="105" spans="1:4" x14ac:dyDescent="0.25">
      <c r="A105">
        <v>356</v>
      </c>
      <c r="B105" t="s">
        <v>44</v>
      </c>
      <c r="C105" t="s">
        <v>6</v>
      </c>
      <c r="D105">
        <v>275</v>
      </c>
    </row>
    <row r="106" spans="1:4" x14ac:dyDescent="0.25">
      <c r="A106">
        <v>356</v>
      </c>
      <c r="B106" t="s">
        <v>44</v>
      </c>
      <c r="C106" t="s">
        <v>7</v>
      </c>
      <c r="D106">
        <v>262</v>
      </c>
    </row>
    <row r="107" spans="1:4" x14ac:dyDescent="0.25">
      <c r="A107">
        <v>357</v>
      </c>
      <c r="B107" t="s">
        <v>45</v>
      </c>
      <c r="C107" t="s">
        <v>5</v>
      </c>
      <c r="D107">
        <v>228</v>
      </c>
    </row>
    <row r="108" spans="1:4" x14ac:dyDescent="0.25">
      <c r="A108">
        <v>357</v>
      </c>
      <c r="B108" t="s">
        <v>45</v>
      </c>
      <c r="C108" t="s">
        <v>6</v>
      </c>
      <c r="D108">
        <v>260</v>
      </c>
    </row>
    <row r="109" spans="1:4" x14ac:dyDescent="0.25">
      <c r="A109">
        <v>357</v>
      </c>
      <c r="B109" t="s">
        <v>45</v>
      </c>
      <c r="C109" t="s">
        <v>7</v>
      </c>
      <c r="D109">
        <v>248</v>
      </c>
    </row>
    <row r="110" spans="1:4" x14ac:dyDescent="0.25">
      <c r="A110">
        <v>358</v>
      </c>
      <c r="B110" t="s">
        <v>46</v>
      </c>
      <c r="C110" t="s">
        <v>5</v>
      </c>
      <c r="D110">
        <v>214</v>
      </c>
    </row>
    <row r="111" spans="1:4" x14ac:dyDescent="0.25">
      <c r="A111">
        <v>358</v>
      </c>
      <c r="B111" t="s">
        <v>46</v>
      </c>
      <c r="C111" t="s">
        <v>6</v>
      </c>
      <c r="D111">
        <v>246</v>
      </c>
    </row>
    <row r="112" spans="1:4" x14ac:dyDescent="0.25">
      <c r="A112">
        <v>358</v>
      </c>
      <c r="B112" t="s">
        <v>46</v>
      </c>
      <c r="C112" t="s">
        <v>7</v>
      </c>
      <c r="D112">
        <v>233</v>
      </c>
    </row>
    <row r="113" spans="1:4" x14ac:dyDescent="0.25">
      <c r="A113">
        <v>359</v>
      </c>
      <c r="B113" t="s">
        <v>47</v>
      </c>
      <c r="C113" t="s">
        <v>5</v>
      </c>
      <c r="D113">
        <v>360</v>
      </c>
    </row>
    <row r="114" spans="1:4" x14ac:dyDescent="0.25">
      <c r="A114">
        <v>359</v>
      </c>
      <c r="B114" t="s">
        <v>47</v>
      </c>
      <c r="C114" t="s">
        <v>6</v>
      </c>
      <c r="D114">
        <v>374</v>
      </c>
    </row>
    <row r="115" spans="1:4" x14ac:dyDescent="0.25">
      <c r="A115">
        <v>359</v>
      </c>
      <c r="B115" t="s">
        <v>47</v>
      </c>
      <c r="C115" t="s">
        <v>7</v>
      </c>
      <c r="D115">
        <v>369</v>
      </c>
    </row>
    <row r="116" spans="1:4" x14ac:dyDescent="0.25">
      <c r="A116">
        <v>360</v>
      </c>
      <c r="B116" t="s">
        <v>48</v>
      </c>
      <c r="C116" t="s">
        <v>5</v>
      </c>
      <c r="D116">
        <v>353</v>
      </c>
    </row>
    <row r="117" spans="1:4" x14ac:dyDescent="0.25">
      <c r="A117">
        <v>360</v>
      </c>
      <c r="B117" t="s">
        <v>48</v>
      </c>
      <c r="C117" t="s">
        <v>6</v>
      </c>
      <c r="D117">
        <v>368</v>
      </c>
    </row>
    <row r="118" spans="1:4" x14ac:dyDescent="0.25">
      <c r="A118">
        <v>360</v>
      </c>
      <c r="B118" t="s">
        <v>48</v>
      </c>
      <c r="C118" t="s">
        <v>7</v>
      </c>
      <c r="D118">
        <v>363</v>
      </c>
    </row>
    <row r="119" spans="1:4" x14ac:dyDescent="0.25">
      <c r="A119">
        <v>361</v>
      </c>
      <c r="B119" t="s">
        <v>49</v>
      </c>
      <c r="C119" t="s">
        <v>5</v>
      </c>
      <c r="D119">
        <v>601</v>
      </c>
    </row>
    <row r="120" spans="1:4" x14ac:dyDescent="0.25">
      <c r="A120">
        <v>361</v>
      </c>
      <c r="B120" t="s">
        <v>49</v>
      </c>
      <c r="C120" t="s">
        <v>6</v>
      </c>
      <c r="D120">
        <v>531</v>
      </c>
    </row>
    <row r="121" spans="1:4" x14ac:dyDescent="0.25">
      <c r="A121">
        <v>361</v>
      </c>
      <c r="B121" t="s">
        <v>49</v>
      </c>
      <c r="C121" t="s">
        <v>7</v>
      </c>
      <c r="D121">
        <v>499</v>
      </c>
    </row>
    <row r="122" spans="1:4" x14ac:dyDescent="0.25">
      <c r="A122">
        <v>362</v>
      </c>
      <c r="B122" t="s">
        <v>50</v>
      </c>
      <c r="C122" t="s">
        <v>5</v>
      </c>
      <c r="D122">
        <v>315</v>
      </c>
    </row>
    <row r="123" spans="1:4" x14ac:dyDescent="0.25">
      <c r="A123">
        <v>362</v>
      </c>
      <c r="B123" t="s">
        <v>50</v>
      </c>
      <c r="C123" t="s">
        <v>6</v>
      </c>
      <c r="D123">
        <v>334</v>
      </c>
    </row>
    <row r="124" spans="1:4" x14ac:dyDescent="0.25">
      <c r="A124">
        <v>362</v>
      </c>
      <c r="B124" t="s">
        <v>50</v>
      </c>
      <c r="C124" t="s">
        <v>7</v>
      </c>
      <c r="D124">
        <v>377</v>
      </c>
    </row>
    <row r="125" spans="1:4" x14ac:dyDescent="0.25">
      <c r="A125">
        <v>363</v>
      </c>
      <c r="B125" t="s">
        <v>51</v>
      </c>
      <c r="C125" t="s">
        <v>5</v>
      </c>
      <c r="D125">
        <v>643</v>
      </c>
    </row>
    <row r="126" spans="1:4" x14ac:dyDescent="0.25">
      <c r="A126">
        <v>363</v>
      </c>
      <c r="B126" t="s">
        <v>51</v>
      </c>
      <c r="C126" t="s">
        <v>6</v>
      </c>
      <c r="D126">
        <v>619</v>
      </c>
    </row>
    <row r="127" spans="1:4" x14ac:dyDescent="0.25">
      <c r="A127">
        <v>363</v>
      </c>
      <c r="B127" t="s">
        <v>51</v>
      </c>
      <c r="C127" t="s">
        <v>7</v>
      </c>
      <c r="D127">
        <v>499</v>
      </c>
    </row>
    <row r="128" spans="1:4" x14ac:dyDescent="0.25">
      <c r="A128">
        <v>364</v>
      </c>
      <c r="B128" t="s">
        <v>52</v>
      </c>
      <c r="C128" t="s">
        <v>5</v>
      </c>
      <c r="D128">
        <v>358</v>
      </c>
    </row>
    <row r="129" spans="1:4" x14ac:dyDescent="0.25">
      <c r="A129">
        <v>364</v>
      </c>
      <c r="B129" t="s">
        <v>52</v>
      </c>
      <c r="C129" t="s">
        <v>6</v>
      </c>
      <c r="D129">
        <v>326</v>
      </c>
    </row>
    <row r="130" spans="1:4" x14ac:dyDescent="0.25">
      <c r="A130">
        <v>364</v>
      </c>
      <c r="B130" t="s">
        <v>52</v>
      </c>
      <c r="C130" t="s">
        <v>7</v>
      </c>
      <c r="D130">
        <v>368</v>
      </c>
    </row>
    <row r="131" spans="1:4" x14ac:dyDescent="0.25">
      <c r="A131">
        <v>365</v>
      </c>
      <c r="B131" t="s">
        <v>53</v>
      </c>
      <c r="C131" t="s">
        <v>5</v>
      </c>
      <c r="D131">
        <v>691</v>
      </c>
    </row>
    <row r="132" spans="1:4" x14ac:dyDescent="0.25">
      <c r="A132">
        <v>365</v>
      </c>
      <c r="B132" t="s">
        <v>53</v>
      </c>
      <c r="C132" t="s">
        <v>6</v>
      </c>
      <c r="D132">
        <v>619</v>
      </c>
    </row>
    <row r="133" spans="1:4" x14ac:dyDescent="0.25">
      <c r="A133">
        <v>365</v>
      </c>
      <c r="B133" t="s">
        <v>53</v>
      </c>
      <c r="C133" t="s">
        <v>7</v>
      </c>
      <c r="D133">
        <v>411</v>
      </c>
    </row>
    <row r="134" spans="1:4" x14ac:dyDescent="0.25">
      <c r="A134">
        <v>366</v>
      </c>
      <c r="B134" t="s">
        <v>54</v>
      </c>
      <c r="C134" t="s">
        <v>5</v>
      </c>
      <c r="D134">
        <v>299</v>
      </c>
    </row>
    <row r="135" spans="1:4" x14ac:dyDescent="0.25">
      <c r="A135">
        <v>366</v>
      </c>
      <c r="B135" t="s">
        <v>54</v>
      </c>
      <c r="C135" t="s">
        <v>6</v>
      </c>
      <c r="D135">
        <v>412</v>
      </c>
    </row>
    <row r="136" spans="1:4" x14ac:dyDescent="0.25">
      <c r="A136">
        <v>366</v>
      </c>
      <c r="B136" t="s">
        <v>54</v>
      </c>
      <c r="C136" t="s">
        <v>7</v>
      </c>
      <c r="D136">
        <v>318</v>
      </c>
    </row>
    <row r="137" spans="1:4" x14ac:dyDescent="0.25">
      <c r="A137">
        <v>367</v>
      </c>
      <c r="B137" t="s">
        <v>55</v>
      </c>
      <c r="C137" t="s">
        <v>5</v>
      </c>
      <c r="D137">
        <v>689</v>
      </c>
    </row>
    <row r="138" spans="1:4" x14ac:dyDescent="0.25">
      <c r="A138">
        <v>367</v>
      </c>
      <c r="B138" t="s">
        <v>55</v>
      </c>
      <c r="C138" t="s">
        <v>6</v>
      </c>
      <c r="D138">
        <v>569</v>
      </c>
    </row>
    <row r="139" spans="1:4" x14ac:dyDescent="0.25">
      <c r="A139">
        <v>367</v>
      </c>
      <c r="B139" t="s">
        <v>55</v>
      </c>
      <c r="C139" t="s">
        <v>7</v>
      </c>
      <c r="D139">
        <v>643</v>
      </c>
    </row>
    <row r="140" spans="1:4" x14ac:dyDescent="0.25">
      <c r="A140">
        <v>368</v>
      </c>
      <c r="B140" t="s">
        <v>56</v>
      </c>
      <c r="C140" t="s">
        <v>5</v>
      </c>
      <c r="D140">
        <v>360</v>
      </c>
    </row>
    <row r="141" spans="1:4" x14ac:dyDescent="0.25">
      <c r="A141">
        <v>368</v>
      </c>
      <c r="B141" t="s">
        <v>56</v>
      </c>
      <c r="C141" t="s">
        <v>6</v>
      </c>
      <c r="D141">
        <v>374</v>
      </c>
    </row>
    <row r="142" spans="1:4" x14ac:dyDescent="0.25">
      <c r="A142">
        <v>368</v>
      </c>
      <c r="B142" t="s">
        <v>56</v>
      </c>
      <c r="C142" t="s">
        <v>7</v>
      </c>
      <c r="D142">
        <v>369</v>
      </c>
    </row>
    <row r="143" spans="1:4" x14ac:dyDescent="0.25">
      <c r="A143">
        <v>369</v>
      </c>
      <c r="B143" t="s">
        <v>57</v>
      </c>
      <c r="C143" t="s">
        <v>5</v>
      </c>
      <c r="D143">
        <v>353</v>
      </c>
    </row>
    <row r="144" spans="1:4" x14ac:dyDescent="0.25">
      <c r="A144">
        <v>369</v>
      </c>
      <c r="B144" t="s">
        <v>57</v>
      </c>
      <c r="C144" t="s">
        <v>6</v>
      </c>
      <c r="D144">
        <v>368</v>
      </c>
    </row>
    <row r="145" spans="1:4" x14ac:dyDescent="0.25">
      <c r="A145">
        <v>369</v>
      </c>
      <c r="B145" t="s">
        <v>57</v>
      </c>
      <c r="C145" t="s">
        <v>7</v>
      </c>
      <c r="D145">
        <v>363</v>
      </c>
    </row>
    <row r="146" spans="1:4" x14ac:dyDescent="0.25">
      <c r="A146">
        <v>370</v>
      </c>
      <c r="B146" t="s">
        <v>58</v>
      </c>
      <c r="C146" t="s">
        <v>5</v>
      </c>
      <c r="D146">
        <v>155</v>
      </c>
    </row>
    <row r="147" spans="1:4" x14ac:dyDescent="0.25">
      <c r="A147">
        <v>370</v>
      </c>
      <c r="B147" t="s">
        <v>58</v>
      </c>
      <c r="C147" t="s">
        <v>6</v>
      </c>
      <c r="D147">
        <v>476</v>
      </c>
    </row>
    <row r="148" spans="1:4" x14ac:dyDescent="0.25">
      <c r="A148">
        <v>370</v>
      </c>
      <c r="B148" t="s">
        <v>58</v>
      </c>
      <c r="C148" t="s">
        <v>7</v>
      </c>
      <c r="D148">
        <v>252</v>
      </c>
    </row>
    <row r="149" spans="1:4" x14ac:dyDescent="0.25">
      <c r="A149">
        <v>371</v>
      </c>
      <c r="B149" t="s">
        <v>59</v>
      </c>
      <c r="C149" t="s">
        <v>5</v>
      </c>
      <c r="D149">
        <v>649</v>
      </c>
    </row>
    <row r="150" spans="1:4" x14ac:dyDescent="0.25">
      <c r="A150">
        <v>371</v>
      </c>
      <c r="B150" t="s">
        <v>59</v>
      </c>
      <c r="C150" t="s">
        <v>6</v>
      </c>
      <c r="D150">
        <v>547</v>
      </c>
    </row>
    <row r="151" spans="1:4" x14ac:dyDescent="0.25">
      <c r="A151">
        <v>371</v>
      </c>
      <c r="B151" t="s">
        <v>59</v>
      </c>
      <c r="C151" t="s">
        <v>7</v>
      </c>
      <c r="D151">
        <v>585</v>
      </c>
    </row>
    <row r="152" spans="1:4" x14ac:dyDescent="0.25">
      <c r="A152">
        <v>372</v>
      </c>
      <c r="B152" t="s">
        <v>60</v>
      </c>
      <c r="C152" t="s">
        <v>5</v>
      </c>
      <c r="D152">
        <v>344</v>
      </c>
    </row>
    <row r="153" spans="1:4" x14ac:dyDescent="0.25">
      <c r="A153">
        <v>372</v>
      </c>
      <c r="B153" t="s">
        <v>60</v>
      </c>
      <c r="C153" t="s">
        <v>6</v>
      </c>
      <c r="D153">
        <v>272</v>
      </c>
    </row>
    <row r="154" spans="1:4" x14ac:dyDescent="0.25">
      <c r="A154">
        <v>372</v>
      </c>
      <c r="B154" t="s">
        <v>60</v>
      </c>
      <c r="C154" t="s">
        <v>7</v>
      </c>
      <c r="D154">
        <v>281</v>
      </c>
    </row>
    <row r="155" spans="1:4" x14ac:dyDescent="0.25">
      <c r="A155">
        <v>373</v>
      </c>
      <c r="B155" t="s">
        <v>61</v>
      </c>
      <c r="C155" t="s">
        <v>5</v>
      </c>
      <c r="D155">
        <v>347</v>
      </c>
    </row>
    <row r="156" spans="1:4" x14ac:dyDescent="0.25">
      <c r="A156">
        <v>373</v>
      </c>
      <c r="B156" t="s">
        <v>61</v>
      </c>
      <c r="C156" t="s">
        <v>6</v>
      </c>
      <c r="D156">
        <v>275</v>
      </c>
    </row>
    <row r="157" spans="1:4" x14ac:dyDescent="0.25">
      <c r="A157">
        <v>373</v>
      </c>
      <c r="B157" t="s">
        <v>61</v>
      </c>
      <c r="C157" t="s">
        <v>7</v>
      </c>
      <c r="D157">
        <v>284</v>
      </c>
    </row>
    <row r="158" spans="1:4" x14ac:dyDescent="0.25">
      <c r="A158">
        <v>374</v>
      </c>
      <c r="B158" t="s">
        <v>62</v>
      </c>
      <c r="C158" t="s">
        <v>5</v>
      </c>
      <c r="D158">
        <v>350</v>
      </c>
    </row>
    <row r="159" spans="1:4" x14ac:dyDescent="0.25">
      <c r="A159">
        <v>374</v>
      </c>
      <c r="B159" t="s">
        <v>62</v>
      </c>
      <c r="C159" t="s">
        <v>6</v>
      </c>
      <c r="D159">
        <v>278</v>
      </c>
    </row>
    <row r="160" spans="1:4" x14ac:dyDescent="0.25">
      <c r="A160">
        <v>374</v>
      </c>
      <c r="B160" t="s">
        <v>62</v>
      </c>
      <c r="C160" t="s">
        <v>7</v>
      </c>
      <c r="D160">
        <v>288</v>
      </c>
    </row>
    <row r="161" spans="1:4" x14ac:dyDescent="0.25">
      <c r="A161">
        <v>375</v>
      </c>
      <c r="B161" t="s">
        <v>63</v>
      </c>
      <c r="C161" t="s">
        <v>5</v>
      </c>
      <c r="D161">
        <v>353</v>
      </c>
    </row>
    <row r="162" spans="1:4" x14ac:dyDescent="0.25">
      <c r="A162">
        <v>375</v>
      </c>
      <c r="B162" t="s">
        <v>63</v>
      </c>
      <c r="C162" t="s">
        <v>6</v>
      </c>
      <c r="D162">
        <v>281</v>
      </c>
    </row>
    <row r="163" spans="1:4" x14ac:dyDescent="0.25">
      <c r="A163">
        <v>375</v>
      </c>
      <c r="B163" t="s">
        <v>63</v>
      </c>
      <c r="C163" t="s">
        <v>7</v>
      </c>
      <c r="D163">
        <v>291</v>
      </c>
    </row>
    <row r="164" spans="1:4" x14ac:dyDescent="0.25">
      <c r="A164">
        <v>376</v>
      </c>
      <c r="B164" t="s">
        <v>64</v>
      </c>
      <c r="C164" t="s">
        <v>5</v>
      </c>
      <c r="D164">
        <v>649</v>
      </c>
    </row>
    <row r="165" spans="1:4" x14ac:dyDescent="0.25">
      <c r="A165">
        <v>376</v>
      </c>
      <c r="B165" t="s">
        <v>64</v>
      </c>
      <c r="C165" t="s">
        <v>6</v>
      </c>
      <c r="D165">
        <v>547</v>
      </c>
    </row>
    <row r="166" spans="1:4" x14ac:dyDescent="0.25">
      <c r="A166">
        <v>376</v>
      </c>
      <c r="B166" t="s">
        <v>64</v>
      </c>
      <c r="C166" t="s">
        <v>7</v>
      </c>
      <c r="D166">
        <v>585</v>
      </c>
    </row>
    <row r="167" spans="1:4" x14ac:dyDescent="0.25">
      <c r="A167">
        <v>377</v>
      </c>
      <c r="B167" t="s">
        <v>65</v>
      </c>
      <c r="C167" t="s">
        <v>5</v>
      </c>
      <c r="D167">
        <v>299</v>
      </c>
    </row>
    <row r="168" spans="1:4" x14ac:dyDescent="0.25">
      <c r="A168">
        <v>377</v>
      </c>
      <c r="B168" t="s">
        <v>65</v>
      </c>
      <c r="C168" t="s">
        <v>6</v>
      </c>
      <c r="D168">
        <v>393</v>
      </c>
    </row>
    <row r="169" spans="1:4" x14ac:dyDescent="0.25">
      <c r="A169">
        <v>377</v>
      </c>
      <c r="B169" t="s">
        <v>65</v>
      </c>
      <c r="C169" t="s">
        <v>7</v>
      </c>
      <c r="D169">
        <v>249</v>
      </c>
    </row>
    <row r="170" spans="1:4" x14ac:dyDescent="0.25">
      <c r="A170">
        <v>378</v>
      </c>
      <c r="B170" t="s">
        <v>66</v>
      </c>
      <c r="C170" t="s">
        <v>5</v>
      </c>
      <c r="D170">
        <v>294</v>
      </c>
    </row>
    <row r="171" spans="1:4" x14ac:dyDescent="0.25">
      <c r="A171">
        <v>378</v>
      </c>
      <c r="B171" t="s">
        <v>66</v>
      </c>
      <c r="C171" t="s">
        <v>6</v>
      </c>
      <c r="D171">
        <v>388</v>
      </c>
    </row>
    <row r="172" spans="1:4" x14ac:dyDescent="0.25">
      <c r="A172">
        <v>378</v>
      </c>
      <c r="B172" t="s">
        <v>66</v>
      </c>
      <c r="C172" t="s">
        <v>7</v>
      </c>
      <c r="D172">
        <v>244</v>
      </c>
    </row>
    <row r="173" spans="1:4" x14ac:dyDescent="0.25">
      <c r="A173">
        <v>379</v>
      </c>
      <c r="B173" t="s">
        <v>67</v>
      </c>
      <c r="C173" t="s">
        <v>5</v>
      </c>
      <c r="D173">
        <v>897</v>
      </c>
    </row>
    <row r="174" spans="1:4" x14ac:dyDescent="0.25">
      <c r="A174">
        <v>379</v>
      </c>
      <c r="B174" t="s">
        <v>67</v>
      </c>
      <c r="C174" t="s">
        <v>6</v>
      </c>
      <c r="D174">
        <v>691</v>
      </c>
    </row>
    <row r="175" spans="1:4" x14ac:dyDescent="0.25">
      <c r="A175">
        <v>379</v>
      </c>
      <c r="B175" t="s">
        <v>67</v>
      </c>
      <c r="C175" t="s">
        <v>7</v>
      </c>
      <c r="D175">
        <v>323</v>
      </c>
    </row>
    <row r="176" spans="1:4" x14ac:dyDescent="0.25">
      <c r="A176">
        <v>380</v>
      </c>
      <c r="B176" t="s">
        <v>68</v>
      </c>
      <c r="C176" t="s">
        <v>5</v>
      </c>
      <c r="D176">
        <v>264</v>
      </c>
    </row>
    <row r="177" spans="1:4" x14ac:dyDescent="0.25">
      <c r="A177">
        <v>380</v>
      </c>
      <c r="B177" t="s">
        <v>68</v>
      </c>
      <c r="C177" t="s">
        <v>6</v>
      </c>
      <c r="D177">
        <v>350</v>
      </c>
    </row>
    <row r="178" spans="1:4" x14ac:dyDescent="0.25">
      <c r="A178">
        <v>380</v>
      </c>
      <c r="B178" t="s">
        <v>68</v>
      </c>
      <c r="C178" t="s">
        <v>7</v>
      </c>
      <c r="D178">
        <v>156</v>
      </c>
    </row>
    <row r="179" spans="1:4" x14ac:dyDescent="0.25">
      <c r="A179">
        <v>381</v>
      </c>
      <c r="B179" t="s">
        <v>69</v>
      </c>
      <c r="C179" t="s">
        <v>5</v>
      </c>
      <c r="D179">
        <v>270</v>
      </c>
    </row>
    <row r="180" spans="1:4" x14ac:dyDescent="0.25">
      <c r="A180">
        <v>381</v>
      </c>
      <c r="B180" t="s">
        <v>69</v>
      </c>
      <c r="C180" t="s">
        <v>6</v>
      </c>
      <c r="D180">
        <v>356</v>
      </c>
    </row>
    <row r="181" spans="1:4" x14ac:dyDescent="0.25">
      <c r="A181">
        <v>381</v>
      </c>
      <c r="B181" t="s">
        <v>69</v>
      </c>
      <c r="C181" t="s">
        <v>7</v>
      </c>
      <c r="D181">
        <v>163</v>
      </c>
    </row>
    <row r="182" spans="1:4" x14ac:dyDescent="0.25">
      <c r="A182">
        <v>382</v>
      </c>
      <c r="B182" t="s">
        <v>70</v>
      </c>
      <c r="C182" t="s">
        <v>5</v>
      </c>
      <c r="D182">
        <v>276</v>
      </c>
    </row>
    <row r="183" spans="1:4" x14ac:dyDescent="0.25">
      <c r="A183">
        <v>382</v>
      </c>
      <c r="B183" t="s">
        <v>70</v>
      </c>
      <c r="C183" t="s">
        <v>6</v>
      </c>
      <c r="D183">
        <v>363</v>
      </c>
    </row>
    <row r="184" spans="1:4" x14ac:dyDescent="0.25">
      <c r="A184">
        <v>382</v>
      </c>
      <c r="B184" t="s">
        <v>70</v>
      </c>
      <c r="C184" t="s">
        <v>7</v>
      </c>
      <c r="D184">
        <v>169</v>
      </c>
    </row>
    <row r="185" spans="1:4" x14ac:dyDescent="0.25">
      <c r="A185">
        <v>383</v>
      </c>
      <c r="B185" t="s">
        <v>71</v>
      </c>
      <c r="C185" t="s">
        <v>5</v>
      </c>
      <c r="D185">
        <v>676</v>
      </c>
    </row>
    <row r="186" spans="1:4" x14ac:dyDescent="0.25">
      <c r="A186">
        <v>383</v>
      </c>
      <c r="B186" t="s">
        <v>71</v>
      </c>
      <c r="C186" t="s">
        <v>6</v>
      </c>
      <c r="D186">
        <v>638</v>
      </c>
    </row>
    <row r="187" spans="1:4" x14ac:dyDescent="0.25">
      <c r="A187">
        <v>383</v>
      </c>
      <c r="B187" t="s">
        <v>71</v>
      </c>
      <c r="C187" t="s">
        <v>7</v>
      </c>
      <c r="D187">
        <v>587</v>
      </c>
    </row>
    <row r="188" spans="1:4" x14ac:dyDescent="0.25">
      <c r="A188">
        <v>384</v>
      </c>
      <c r="B188" t="s">
        <v>72</v>
      </c>
      <c r="C188" t="s">
        <v>5</v>
      </c>
      <c r="D188">
        <v>217</v>
      </c>
    </row>
    <row r="189" spans="1:4" x14ac:dyDescent="0.25">
      <c r="A189">
        <v>384</v>
      </c>
      <c r="B189" t="s">
        <v>72</v>
      </c>
      <c r="C189" t="s">
        <v>6</v>
      </c>
      <c r="D189">
        <v>304</v>
      </c>
    </row>
    <row r="190" spans="1:4" x14ac:dyDescent="0.25">
      <c r="A190">
        <v>384</v>
      </c>
      <c r="B190" t="s">
        <v>72</v>
      </c>
      <c r="C190" t="s">
        <v>7</v>
      </c>
      <c r="D190">
        <v>299</v>
      </c>
    </row>
    <row r="191" spans="1:4" x14ac:dyDescent="0.25">
      <c r="A191">
        <v>385</v>
      </c>
      <c r="B191" t="s">
        <v>73</v>
      </c>
      <c r="C191" t="s">
        <v>5</v>
      </c>
      <c r="D191">
        <v>526</v>
      </c>
    </row>
    <row r="192" spans="1:4" x14ac:dyDescent="0.25">
      <c r="A192">
        <v>385</v>
      </c>
      <c r="B192" t="s">
        <v>73</v>
      </c>
      <c r="C192" t="s">
        <v>6</v>
      </c>
      <c r="D192">
        <v>633</v>
      </c>
    </row>
    <row r="193" spans="1:4" x14ac:dyDescent="0.25">
      <c r="A193">
        <v>385</v>
      </c>
      <c r="B193" t="s">
        <v>73</v>
      </c>
      <c r="C193" t="s">
        <v>7</v>
      </c>
      <c r="D193">
        <v>619</v>
      </c>
    </row>
    <row r="194" spans="1:4" x14ac:dyDescent="0.25">
      <c r="A194">
        <v>386</v>
      </c>
      <c r="B194" t="s">
        <v>74</v>
      </c>
      <c r="C194" t="s">
        <v>5</v>
      </c>
      <c r="D194">
        <v>192</v>
      </c>
    </row>
    <row r="195" spans="1:4" x14ac:dyDescent="0.25">
      <c r="A195">
        <v>386</v>
      </c>
      <c r="B195" t="s">
        <v>74</v>
      </c>
      <c r="C195" t="s">
        <v>6</v>
      </c>
      <c r="D195">
        <v>385</v>
      </c>
    </row>
    <row r="196" spans="1:4" x14ac:dyDescent="0.25">
      <c r="A196">
        <v>386</v>
      </c>
      <c r="B196" t="s">
        <v>74</v>
      </c>
      <c r="C196" t="s">
        <v>7</v>
      </c>
      <c r="D196">
        <v>148</v>
      </c>
    </row>
    <row r="197" spans="1:4" x14ac:dyDescent="0.25">
      <c r="A197">
        <v>387</v>
      </c>
      <c r="B197" t="s">
        <v>75</v>
      </c>
      <c r="C197" t="s">
        <v>5</v>
      </c>
      <c r="D197">
        <v>710</v>
      </c>
    </row>
    <row r="198" spans="1:4" x14ac:dyDescent="0.25">
      <c r="A198">
        <v>387</v>
      </c>
      <c r="B198" t="s">
        <v>75</v>
      </c>
      <c r="C198" t="s">
        <v>6</v>
      </c>
      <c r="D198">
        <v>654</v>
      </c>
    </row>
    <row r="199" spans="1:4" x14ac:dyDescent="0.25">
      <c r="A199">
        <v>387</v>
      </c>
      <c r="B199" t="s">
        <v>75</v>
      </c>
      <c r="C199" t="s">
        <v>7</v>
      </c>
      <c r="D199">
        <v>524</v>
      </c>
    </row>
    <row r="200" spans="1:4" x14ac:dyDescent="0.25">
      <c r="A200">
        <v>388</v>
      </c>
      <c r="B200" t="s">
        <v>76</v>
      </c>
      <c r="C200" t="s">
        <v>5</v>
      </c>
      <c r="D200">
        <v>140</v>
      </c>
    </row>
    <row r="201" spans="1:4" x14ac:dyDescent="0.25">
      <c r="A201">
        <v>388</v>
      </c>
      <c r="B201" t="s">
        <v>76</v>
      </c>
      <c r="C201" t="s">
        <v>6</v>
      </c>
      <c r="D201">
        <v>366</v>
      </c>
    </row>
    <row r="202" spans="1:4" x14ac:dyDescent="0.25">
      <c r="A202">
        <v>388</v>
      </c>
      <c r="B202" t="s">
        <v>76</v>
      </c>
      <c r="C202" t="s">
        <v>7</v>
      </c>
      <c r="D202">
        <v>292</v>
      </c>
    </row>
    <row r="203" spans="1:4" x14ac:dyDescent="0.25">
      <c r="A203">
        <v>389</v>
      </c>
      <c r="B203" t="s">
        <v>77</v>
      </c>
      <c r="C203" t="s">
        <v>5</v>
      </c>
      <c r="D203">
        <v>691</v>
      </c>
    </row>
    <row r="204" spans="1:4" x14ac:dyDescent="0.25">
      <c r="A204">
        <v>389</v>
      </c>
      <c r="B204" t="s">
        <v>77</v>
      </c>
      <c r="C204" t="s">
        <v>6</v>
      </c>
      <c r="D204">
        <v>460</v>
      </c>
    </row>
    <row r="205" spans="1:4" x14ac:dyDescent="0.25">
      <c r="A205">
        <v>389</v>
      </c>
      <c r="B205" t="s">
        <v>77</v>
      </c>
      <c r="C205" t="s">
        <v>7</v>
      </c>
      <c r="D205">
        <v>657</v>
      </c>
    </row>
    <row r="206" spans="1:4" x14ac:dyDescent="0.25">
      <c r="A206">
        <v>390</v>
      </c>
      <c r="B206" t="s">
        <v>78</v>
      </c>
      <c r="C206" t="s">
        <v>5</v>
      </c>
      <c r="D206">
        <v>140</v>
      </c>
    </row>
    <row r="207" spans="1:4" x14ac:dyDescent="0.25">
      <c r="A207">
        <v>390</v>
      </c>
      <c r="B207" t="s">
        <v>78</v>
      </c>
      <c r="C207" t="s">
        <v>6</v>
      </c>
      <c r="D207">
        <v>366</v>
      </c>
    </row>
    <row r="208" spans="1:4" x14ac:dyDescent="0.25">
      <c r="A208">
        <v>390</v>
      </c>
      <c r="B208" t="s">
        <v>78</v>
      </c>
      <c r="C208" t="s">
        <v>7</v>
      </c>
      <c r="D208">
        <v>292</v>
      </c>
    </row>
    <row r="209" spans="1:4" x14ac:dyDescent="0.25">
      <c r="A209">
        <v>391</v>
      </c>
      <c r="B209" t="s">
        <v>79</v>
      </c>
      <c r="C209" t="s">
        <v>5</v>
      </c>
      <c r="D209">
        <v>144</v>
      </c>
    </row>
    <row r="210" spans="1:4" x14ac:dyDescent="0.25">
      <c r="A210">
        <v>391</v>
      </c>
      <c r="B210" t="s">
        <v>79</v>
      </c>
      <c r="C210" t="s">
        <v>6</v>
      </c>
      <c r="D210">
        <v>369</v>
      </c>
    </row>
    <row r="211" spans="1:4" x14ac:dyDescent="0.25">
      <c r="A211">
        <v>391</v>
      </c>
      <c r="B211" t="s">
        <v>79</v>
      </c>
      <c r="C211" t="s">
        <v>7</v>
      </c>
      <c r="D211">
        <v>296</v>
      </c>
    </row>
    <row r="212" spans="1:4" x14ac:dyDescent="0.25">
      <c r="A212">
        <v>392</v>
      </c>
      <c r="B212" t="s">
        <v>80</v>
      </c>
      <c r="C212" t="s">
        <v>5</v>
      </c>
      <c r="D212">
        <v>147</v>
      </c>
    </row>
    <row r="213" spans="1:4" x14ac:dyDescent="0.25">
      <c r="A213">
        <v>392</v>
      </c>
      <c r="B213" t="s">
        <v>80</v>
      </c>
      <c r="C213" t="s">
        <v>6</v>
      </c>
      <c r="D213">
        <v>372</v>
      </c>
    </row>
    <row r="214" spans="1:4" x14ac:dyDescent="0.25">
      <c r="A214">
        <v>392</v>
      </c>
      <c r="B214" t="s">
        <v>80</v>
      </c>
      <c r="C214" t="s">
        <v>7</v>
      </c>
      <c r="D214">
        <v>299</v>
      </c>
    </row>
    <row r="215" spans="1:4" x14ac:dyDescent="0.25">
      <c r="A215">
        <v>393</v>
      </c>
      <c r="B215" t="s">
        <v>81</v>
      </c>
      <c r="C215" t="s">
        <v>5</v>
      </c>
      <c r="D215">
        <v>780</v>
      </c>
    </row>
    <row r="216" spans="1:4" x14ac:dyDescent="0.25">
      <c r="A216">
        <v>393</v>
      </c>
      <c r="B216" t="s">
        <v>81</v>
      </c>
      <c r="C216" t="s">
        <v>6</v>
      </c>
      <c r="D216">
        <v>497</v>
      </c>
    </row>
    <row r="217" spans="1:4" x14ac:dyDescent="0.25">
      <c r="A217">
        <v>393</v>
      </c>
      <c r="B217" t="s">
        <v>81</v>
      </c>
      <c r="C217" t="s">
        <v>7</v>
      </c>
      <c r="D217">
        <v>603</v>
      </c>
    </row>
    <row r="218" spans="1:4" x14ac:dyDescent="0.25">
      <c r="A218">
        <v>394</v>
      </c>
      <c r="B218" t="s">
        <v>82</v>
      </c>
      <c r="C218" t="s">
        <v>5</v>
      </c>
      <c r="D218">
        <v>150</v>
      </c>
    </row>
    <row r="219" spans="1:4" x14ac:dyDescent="0.25">
      <c r="A219">
        <v>394</v>
      </c>
      <c r="B219" t="s">
        <v>82</v>
      </c>
      <c r="C219" t="s">
        <v>6</v>
      </c>
      <c r="D219">
        <v>459</v>
      </c>
    </row>
    <row r="220" spans="1:4" x14ac:dyDescent="0.25">
      <c r="A220">
        <v>394</v>
      </c>
      <c r="B220" t="s">
        <v>82</v>
      </c>
      <c r="C220" t="s">
        <v>7</v>
      </c>
      <c r="D220">
        <v>302</v>
      </c>
    </row>
    <row r="221" spans="1:4" x14ac:dyDescent="0.25">
      <c r="A221">
        <v>395</v>
      </c>
      <c r="B221" t="s">
        <v>83</v>
      </c>
      <c r="C221" t="s">
        <v>5</v>
      </c>
      <c r="D221">
        <v>355</v>
      </c>
    </row>
    <row r="222" spans="1:4" x14ac:dyDescent="0.25">
      <c r="A222">
        <v>395</v>
      </c>
      <c r="B222" t="s">
        <v>83</v>
      </c>
      <c r="C222" t="s">
        <v>6</v>
      </c>
      <c r="D222">
        <v>148</v>
      </c>
    </row>
    <row r="223" spans="1:4" x14ac:dyDescent="0.25">
      <c r="A223">
        <v>395</v>
      </c>
      <c r="B223" t="s">
        <v>83</v>
      </c>
      <c r="C223" t="s">
        <v>7</v>
      </c>
      <c r="D223">
        <v>281</v>
      </c>
    </row>
    <row r="224" spans="1:4" x14ac:dyDescent="0.25">
      <c r="A224">
        <v>396</v>
      </c>
      <c r="B224" t="s">
        <v>84</v>
      </c>
      <c r="C224" t="s">
        <v>5</v>
      </c>
      <c r="D224">
        <v>585</v>
      </c>
    </row>
    <row r="225" spans="1:4" x14ac:dyDescent="0.25">
      <c r="A225">
        <v>396</v>
      </c>
      <c r="B225" t="s">
        <v>84</v>
      </c>
      <c r="C225" t="s">
        <v>6</v>
      </c>
      <c r="D225">
        <v>603</v>
      </c>
    </row>
    <row r="226" spans="1:4" x14ac:dyDescent="0.25">
      <c r="A226">
        <v>396</v>
      </c>
      <c r="B226" t="s">
        <v>84</v>
      </c>
      <c r="C226" t="s">
        <v>7</v>
      </c>
      <c r="D226">
        <v>636</v>
      </c>
    </row>
    <row r="227" spans="1:4" x14ac:dyDescent="0.25">
      <c r="A227">
        <v>397</v>
      </c>
      <c r="B227" t="s">
        <v>85</v>
      </c>
      <c r="C227" t="s">
        <v>5</v>
      </c>
      <c r="D227">
        <v>550</v>
      </c>
    </row>
    <row r="228" spans="1:4" x14ac:dyDescent="0.25">
      <c r="A228">
        <v>397</v>
      </c>
      <c r="B228" t="s">
        <v>85</v>
      </c>
      <c r="C228" t="s">
        <v>6</v>
      </c>
      <c r="D228">
        <v>763</v>
      </c>
    </row>
    <row r="229" spans="1:4" x14ac:dyDescent="0.25">
      <c r="A229">
        <v>397</v>
      </c>
      <c r="B229" t="s">
        <v>85</v>
      </c>
      <c r="C229" t="s">
        <v>7</v>
      </c>
      <c r="D229">
        <v>339</v>
      </c>
    </row>
    <row r="230" spans="1:4" x14ac:dyDescent="0.25">
      <c r="A230">
        <v>398</v>
      </c>
      <c r="B230" t="s">
        <v>86</v>
      </c>
      <c r="C230" t="s">
        <v>12</v>
      </c>
      <c r="D230">
        <v>404</v>
      </c>
    </row>
    <row r="231" spans="1:4" x14ac:dyDescent="0.25">
      <c r="A231">
        <v>398</v>
      </c>
      <c r="B231" t="s">
        <v>86</v>
      </c>
      <c r="C231" t="s">
        <v>87</v>
      </c>
      <c r="D231">
        <v>550</v>
      </c>
    </row>
    <row r="232" spans="1:4" x14ac:dyDescent="0.25">
      <c r="A232">
        <v>398</v>
      </c>
      <c r="B232" t="s">
        <v>86</v>
      </c>
      <c r="C232" t="s">
        <v>13</v>
      </c>
      <c r="D232">
        <v>372</v>
      </c>
    </row>
    <row r="233" spans="1:4" x14ac:dyDescent="0.25">
      <c r="A233">
        <v>399</v>
      </c>
      <c r="B233" t="s">
        <v>88</v>
      </c>
      <c r="C233" t="s">
        <v>12</v>
      </c>
      <c r="D233">
        <v>398</v>
      </c>
    </row>
    <row r="234" spans="1:4" x14ac:dyDescent="0.25">
      <c r="A234">
        <v>399</v>
      </c>
      <c r="B234" t="s">
        <v>88</v>
      </c>
      <c r="C234" t="s">
        <v>87</v>
      </c>
      <c r="D234">
        <v>544</v>
      </c>
    </row>
    <row r="235" spans="1:4" x14ac:dyDescent="0.25">
      <c r="A235">
        <v>399</v>
      </c>
      <c r="B235" t="s">
        <v>88</v>
      </c>
      <c r="C235" t="s">
        <v>13</v>
      </c>
      <c r="D235">
        <v>366</v>
      </c>
    </row>
    <row r="236" spans="1:4" x14ac:dyDescent="0.25">
      <c r="A236">
        <v>400</v>
      </c>
      <c r="B236" t="s">
        <v>89</v>
      </c>
      <c r="C236" t="s">
        <v>12</v>
      </c>
      <c r="D236">
        <v>246</v>
      </c>
    </row>
    <row r="237" spans="1:4" x14ac:dyDescent="0.25">
      <c r="A237">
        <v>400</v>
      </c>
      <c r="B237" t="s">
        <v>89</v>
      </c>
      <c r="C237" t="s">
        <v>87</v>
      </c>
      <c r="D237">
        <v>284</v>
      </c>
    </row>
    <row r="238" spans="1:4" x14ac:dyDescent="0.25">
      <c r="A238">
        <v>400</v>
      </c>
      <c r="B238" t="s">
        <v>89</v>
      </c>
      <c r="C238" t="s">
        <v>13</v>
      </c>
      <c r="D238">
        <v>260</v>
      </c>
    </row>
    <row r="239" spans="1:4" x14ac:dyDescent="0.25">
      <c r="A239">
        <v>401</v>
      </c>
      <c r="B239" t="s">
        <v>90</v>
      </c>
      <c r="C239" t="s">
        <v>12</v>
      </c>
      <c r="D239">
        <v>212</v>
      </c>
    </row>
    <row r="240" spans="1:4" x14ac:dyDescent="0.25">
      <c r="A240">
        <v>401</v>
      </c>
      <c r="B240" t="s">
        <v>90</v>
      </c>
      <c r="C240" t="s">
        <v>87</v>
      </c>
      <c r="D240">
        <v>302</v>
      </c>
    </row>
    <row r="241" spans="1:4" x14ac:dyDescent="0.25">
      <c r="A241">
        <v>401</v>
      </c>
      <c r="B241" t="s">
        <v>90</v>
      </c>
      <c r="C241" t="s">
        <v>13</v>
      </c>
      <c r="D241">
        <v>283</v>
      </c>
    </row>
    <row r="242" spans="1:4" x14ac:dyDescent="0.25">
      <c r="A242">
        <v>402</v>
      </c>
      <c r="B242" t="s">
        <v>91</v>
      </c>
      <c r="C242" t="s">
        <v>5</v>
      </c>
      <c r="D242">
        <v>353</v>
      </c>
    </row>
    <row r="243" spans="1:4" x14ac:dyDescent="0.25">
      <c r="A243">
        <v>402</v>
      </c>
      <c r="B243" t="s">
        <v>91</v>
      </c>
      <c r="C243" t="s">
        <v>6</v>
      </c>
      <c r="D243">
        <v>321</v>
      </c>
    </row>
    <row r="244" spans="1:4" x14ac:dyDescent="0.25">
      <c r="A244">
        <v>402</v>
      </c>
      <c r="B244" t="s">
        <v>91</v>
      </c>
      <c r="C244" t="s">
        <v>7</v>
      </c>
      <c r="D244">
        <v>316</v>
      </c>
    </row>
    <row r="245" spans="1:4" x14ac:dyDescent="0.25">
      <c r="A245">
        <v>403</v>
      </c>
      <c r="B245" t="s">
        <v>92</v>
      </c>
      <c r="C245" t="s">
        <v>5</v>
      </c>
      <c r="D245">
        <v>350</v>
      </c>
    </row>
    <row r="246" spans="1:4" x14ac:dyDescent="0.25">
      <c r="A246">
        <v>403</v>
      </c>
      <c r="B246" t="s">
        <v>92</v>
      </c>
      <c r="C246" t="s">
        <v>6</v>
      </c>
      <c r="D246">
        <v>318</v>
      </c>
    </row>
    <row r="247" spans="1:4" x14ac:dyDescent="0.25">
      <c r="A247">
        <v>403</v>
      </c>
      <c r="B247" t="s">
        <v>92</v>
      </c>
      <c r="C247" t="s">
        <v>7</v>
      </c>
      <c r="D247">
        <v>313</v>
      </c>
    </row>
    <row r="248" spans="1:4" x14ac:dyDescent="0.25">
      <c r="A248">
        <v>404</v>
      </c>
      <c r="B248" t="s">
        <v>93</v>
      </c>
      <c r="C248" t="s">
        <v>5</v>
      </c>
      <c r="D248">
        <v>347</v>
      </c>
    </row>
    <row r="249" spans="1:4" x14ac:dyDescent="0.25">
      <c r="A249">
        <v>404</v>
      </c>
      <c r="B249" t="s">
        <v>93</v>
      </c>
      <c r="C249" t="s">
        <v>6</v>
      </c>
      <c r="D249">
        <v>315</v>
      </c>
    </row>
    <row r="250" spans="1:4" x14ac:dyDescent="0.25">
      <c r="A250">
        <v>404</v>
      </c>
      <c r="B250" t="s">
        <v>93</v>
      </c>
      <c r="C250" t="s">
        <v>7</v>
      </c>
      <c r="D250">
        <v>310</v>
      </c>
    </row>
    <row r="251" spans="1:4" x14ac:dyDescent="0.25">
      <c r="A251">
        <v>405</v>
      </c>
      <c r="B251" t="s">
        <v>94</v>
      </c>
      <c r="C251" t="s">
        <v>5</v>
      </c>
      <c r="D251">
        <v>344</v>
      </c>
    </row>
    <row r="252" spans="1:4" x14ac:dyDescent="0.25">
      <c r="A252">
        <v>405</v>
      </c>
      <c r="B252" t="s">
        <v>94</v>
      </c>
      <c r="C252" t="s">
        <v>6</v>
      </c>
      <c r="D252">
        <v>312</v>
      </c>
    </row>
    <row r="253" spans="1:4" x14ac:dyDescent="0.25">
      <c r="A253">
        <v>405</v>
      </c>
      <c r="B253" t="s">
        <v>94</v>
      </c>
      <c r="C253" t="s">
        <v>7</v>
      </c>
      <c r="D253">
        <v>307</v>
      </c>
    </row>
    <row r="254" spans="1:4" x14ac:dyDescent="0.25">
      <c r="A254">
        <v>406</v>
      </c>
      <c r="B254" t="s">
        <v>95</v>
      </c>
      <c r="C254" t="s">
        <v>5</v>
      </c>
      <c r="D254">
        <v>340</v>
      </c>
    </row>
    <row r="255" spans="1:4" x14ac:dyDescent="0.25">
      <c r="A255">
        <v>406</v>
      </c>
      <c r="B255" t="s">
        <v>95</v>
      </c>
      <c r="C255" t="s">
        <v>6</v>
      </c>
      <c r="D255">
        <v>308</v>
      </c>
    </row>
    <row r="256" spans="1:4" x14ac:dyDescent="0.25">
      <c r="A256">
        <v>406</v>
      </c>
      <c r="B256" t="s">
        <v>95</v>
      </c>
      <c r="C256" t="s">
        <v>7</v>
      </c>
      <c r="D256">
        <v>304</v>
      </c>
    </row>
    <row r="257" spans="1:4" x14ac:dyDescent="0.25">
      <c r="A257">
        <v>407</v>
      </c>
      <c r="B257" t="s">
        <v>96</v>
      </c>
      <c r="C257" t="s">
        <v>5</v>
      </c>
      <c r="D257">
        <v>587</v>
      </c>
    </row>
    <row r="258" spans="1:4" x14ac:dyDescent="0.25">
      <c r="A258">
        <v>407</v>
      </c>
      <c r="B258" t="s">
        <v>96</v>
      </c>
      <c r="C258" t="s">
        <v>6</v>
      </c>
      <c r="D258">
        <v>625</v>
      </c>
    </row>
    <row r="259" spans="1:4" x14ac:dyDescent="0.25">
      <c r="A259">
        <v>407</v>
      </c>
      <c r="B259" t="s">
        <v>96</v>
      </c>
      <c r="C259" t="s">
        <v>7</v>
      </c>
      <c r="D259">
        <v>460</v>
      </c>
    </row>
    <row r="260" spans="1:4" x14ac:dyDescent="0.25">
      <c r="A260">
        <v>408</v>
      </c>
      <c r="B260" t="s">
        <v>97</v>
      </c>
      <c r="C260" t="s">
        <v>5</v>
      </c>
      <c r="D260">
        <v>344</v>
      </c>
    </row>
    <row r="261" spans="1:4" x14ac:dyDescent="0.25">
      <c r="A261">
        <v>408</v>
      </c>
      <c r="B261" t="s">
        <v>97</v>
      </c>
      <c r="C261" t="s">
        <v>6</v>
      </c>
      <c r="D261">
        <v>296</v>
      </c>
    </row>
    <row r="262" spans="1:4" x14ac:dyDescent="0.25">
      <c r="A262">
        <v>408</v>
      </c>
      <c r="B262" t="s">
        <v>97</v>
      </c>
      <c r="C262" t="s">
        <v>7</v>
      </c>
      <c r="D262">
        <v>417</v>
      </c>
    </row>
    <row r="263" spans="1:4" x14ac:dyDescent="0.25">
      <c r="A263">
        <v>409</v>
      </c>
      <c r="B263" t="s">
        <v>98</v>
      </c>
      <c r="C263" t="s">
        <v>5</v>
      </c>
      <c r="D263">
        <v>340</v>
      </c>
    </row>
    <row r="264" spans="1:4" x14ac:dyDescent="0.25">
      <c r="A264">
        <v>409</v>
      </c>
      <c r="B264" t="s">
        <v>98</v>
      </c>
      <c r="C264" t="s">
        <v>6</v>
      </c>
      <c r="D264">
        <v>292</v>
      </c>
    </row>
    <row r="265" spans="1:4" x14ac:dyDescent="0.25">
      <c r="A265">
        <v>409</v>
      </c>
      <c r="B265" t="s">
        <v>98</v>
      </c>
      <c r="C265" t="s">
        <v>7</v>
      </c>
      <c r="D265">
        <v>414</v>
      </c>
    </row>
    <row r="266" spans="1:4" x14ac:dyDescent="0.25">
      <c r="A266">
        <v>410</v>
      </c>
      <c r="B266" t="s">
        <v>99</v>
      </c>
      <c r="C266" t="s">
        <v>5</v>
      </c>
      <c r="D266">
        <v>337</v>
      </c>
    </row>
    <row r="267" spans="1:4" x14ac:dyDescent="0.25">
      <c r="A267">
        <v>410</v>
      </c>
      <c r="B267" t="s">
        <v>99</v>
      </c>
      <c r="C267" t="s">
        <v>6</v>
      </c>
      <c r="D267">
        <v>289</v>
      </c>
    </row>
    <row r="268" spans="1:4" x14ac:dyDescent="0.25">
      <c r="A268">
        <v>410</v>
      </c>
      <c r="B268" t="s">
        <v>99</v>
      </c>
      <c r="C268" t="s">
        <v>7</v>
      </c>
      <c r="D268">
        <v>411</v>
      </c>
    </row>
    <row r="269" spans="1:4" x14ac:dyDescent="0.25">
      <c r="A269">
        <v>411</v>
      </c>
      <c r="B269" t="s">
        <v>100</v>
      </c>
      <c r="C269" t="s">
        <v>5</v>
      </c>
      <c r="D269">
        <v>552</v>
      </c>
    </row>
    <row r="270" spans="1:4" x14ac:dyDescent="0.25">
      <c r="A270">
        <v>411</v>
      </c>
      <c r="B270" t="s">
        <v>100</v>
      </c>
      <c r="C270" t="s">
        <v>6</v>
      </c>
      <c r="D270">
        <v>459</v>
      </c>
    </row>
    <row r="271" spans="1:4" x14ac:dyDescent="0.25">
      <c r="A271">
        <v>411</v>
      </c>
      <c r="B271" t="s">
        <v>100</v>
      </c>
      <c r="C271" t="s">
        <v>7</v>
      </c>
      <c r="D271">
        <v>603</v>
      </c>
    </row>
    <row r="272" spans="1:4" x14ac:dyDescent="0.25">
      <c r="A272">
        <v>412</v>
      </c>
      <c r="B272" t="s">
        <v>101</v>
      </c>
      <c r="C272" t="s">
        <v>5</v>
      </c>
      <c r="D272">
        <v>321</v>
      </c>
    </row>
    <row r="273" spans="1:4" x14ac:dyDescent="0.25">
      <c r="A273">
        <v>412</v>
      </c>
      <c r="B273" t="s">
        <v>101</v>
      </c>
      <c r="C273" t="s">
        <v>6</v>
      </c>
      <c r="D273">
        <v>156</v>
      </c>
    </row>
    <row r="274" spans="1:4" x14ac:dyDescent="0.25">
      <c r="A274">
        <v>412</v>
      </c>
      <c r="B274" t="s">
        <v>101</v>
      </c>
      <c r="C274" t="s">
        <v>7</v>
      </c>
      <c r="D274">
        <v>299</v>
      </c>
    </row>
    <row r="275" spans="1:4" x14ac:dyDescent="0.25">
      <c r="A275">
        <v>413</v>
      </c>
      <c r="B275" t="s">
        <v>102</v>
      </c>
      <c r="C275" t="s">
        <v>5</v>
      </c>
      <c r="D275">
        <v>603</v>
      </c>
    </row>
    <row r="276" spans="1:4" x14ac:dyDescent="0.25">
      <c r="A276">
        <v>413</v>
      </c>
      <c r="B276" t="s">
        <v>102</v>
      </c>
      <c r="C276" t="s">
        <v>6</v>
      </c>
      <c r="D276">
        <v>459</v>
      </c>
    </row>
    <row r="277" spans="1:4" x14ac:dyDescent="0.25">
      <c r="A277">
        <v>413</v>
      </c>
      <c r="B277" t="s">
        <v>102</v>
      </c>
      <c r="C277" t="s">
        <v>7</v>
      </c>
      <c r="D277">
        <v>641</v>
      </c>
    </row>
    <row r="278" spans="1:4" x14ac:dyDescent="0.25">
      <c r="A278">
        <v>414</v>
      </c>
      <c r="B278" t="s">
        <v>103</v>
      </c>
      <c r="C278" t="s">
        <v>5</v>
      </c>
      <c r="D278">
        <v>321</v>
      </c>
    </row>
    <row r="279" spans="1:4" x14ac:dyDescent="0.25">
      <c r="A279">
        <v>414</v>
      </c>
      <c r="B279" t="s">
        <v>103</v>
      </c>
      <c r="C279" t="s">
        <v>6</v>
      </c>
      <c r="D279">
        <v>371</v>
      </c>
    </row>
    <row r="280" spans="1:4" x14ac:dyDescent="0.25">
      <c r="A280">
        <v>414</v>
      </c>
      <c r="B280" t="s">
        <v>103</v>
      </c>
      <c r="C280" t="s">
        <v>7</v>
      </c>
      <c r="D280">
        <v>427</v>
      </c>
    </row>
    <row r="281" spans="1:4" x14ac:dyDescent="0.25">
      <c r="A281">
        <v>415</v>
      </c>
      <c r="B281" t="s">
        <v>104</v>
      </c>
      <c r="C281" t="s">
        <v>5</v>
      </c>
      <c r="D281">
        <v>316</v>
      </c>
    </row>
    <row r="282" spans="1:4" x14ac:dyDescent="0.25">
      <c r="A282">
        <v>415</v>
      </c>
      <c r="B282" t="s">
        <v>104</v>
      </c>
      <c r="C282" t="s">
        <v>6</v>
      </c>
      <c r="D282">
        <v>366</v>
      </c>
    </row>
    <row r="283" spans="1:4" x14ac:dyDescent="0.25">
      <c r="A283">
        <v>415</v>
      </c>
      <c r="B283" t="s">
        <v>104</v>
      </c>
      <c r="C283" t="s">
        <v>7</v>
      </c>
      <c r="D283">
        <v>422</v>
      </c>
    </row>
    <row r="284" spans="1:4" x14ac:dyDescent="0.25">
      <c r="A284">
        <v>416</v>
      </c>
      <c r="B284" t="s">
        <v>105</v>
      </c>
      <c r="C284" t="s">
        <v>5</v>
      </c>
      <c r="D284">
        <v>312</v>
      </c>
    </row>
    <row r="285" spans="1:4" x14ac:dyDescent="0.25">
      <c r="A285">
        <v>416</v>
      </c>
      <c r="B285" t="s">
        <v>105</v>
      </c>
      <c r="C285" t="s">
        <v>6</v>
      </c>
      <c r="D285">
        <v>361</v>
      </c>
    </row>
    <row r="286" spans="1:4" x14ac:dyDescent="0.25">
      <c r="A286">
        <v>416</v>
      </c>
      <c r="B286" t="s">
        <v>105</v>
      </c>
      <c r="C286" t="s">
        <v>7</v>
      </c>
      <c r="D286">
        <v>417</v>
      </c>
    </row>
    <row r="287" spans="1:4" x14ac:dyDescent="0.25">
      <c r="A287">
        <v>417</v>
      </c>
      <c r="B287" t="s">
        <v>106</v>
      </c>
      <c r="C287" t="s">
        <v>5</v>
      </c>
      <c r="D287">
        <v>627</v>
      </c>
    </row>
    <row r="288" spans="1:4" x14ac:dyDescent="0.25">
      <c r="A288">
        <v>417</v>
      </c>
      <c r="B288" t="s">
        <v>106</v>
      </c>
      <c r="C288" t="s">
        <v>6</v>
      </c>
      <c r="D288">
        <v>516</v>
      </c>
    </row>
    <row r="289" spans="1:4" x14ac:dyDescent="0.25">
      <c r="A289">
        <v>417</v>
      </c>
      <c r="B289" t="s">
        <v>106</v>
      </c>
      <c r="C289" t="s">
        <v>7</v>
      </c>
      <c r="D289">
        <v>572</v>
      </c>
    </row>
    <row r="290" spans="1:4" x14ac:dyDescent="0.25">
      <c r="A290">
        <v>418</v>
      </c>
      <c r="B290" t="s">
        <v>107</v>
      </c>
      <c r="C290" t="s">
        <v>5</v>
      </c>
      <c r="D290">
        <v>283</v>
      </c>
    </row>
    <row r="291" spans="1:4" x14ac:dyDescent="0.25">
      <c r="A291">
        <v>418</v>
      </c>
      <c r="B291" t="s">
        <v>107</v>
      </c>
      <c r="C291" t="s">
        <v>6</v>
      </c>
      <c r="D291">
        <v>388</v>
      </c>
    </row>
    <row r="292" spans="1:4" x14ac:dyDescent="0.25">
      <c r="A292">
        <v>418</v>
      </c>
      <c r="B292" t="s">
        <v>107</v>
      </c>
      <c r="C292" t="s">
        <v>7</v>
      </c>
      <c r="D292">
        <v>248</v>
      </c>
    </row>
    <row r="293" spans="1:4" x14ac:dyDescent="0.25">
      <c r="A293">
        <v>419</v>
      </c>
      <c r="B293" t="s">
        <v>108</v>
      </c>
      <c r="C293" t="s">
        <v>5</v>
      </c>
      <c r="D293">
        <v>281</v>
      </c>
    </row>
    <row r="294" spans="1:4" x14ac:dyDescent="0.25">
      <c r="A294">
        <v>419</v>
      </c>
      <c r="B294" t="s">
        <v>108</v>
      </c>
      <c r="C294" t="s">
        <v>6</v>
      </c>
      <c r="D294">
        <v>387</v>
      </c>
    </row>
    <row r="295" spans="1:4" x14ac:dyDescent="0.25">
      <c r="A295">
        <v>419</v>
      </c>
      <c r="B295" t="s">
        <v>108</v>
      </c>
      <c r="C295" t="s">
        <v>7</v>
      </c>
      <c r="D295">
        <v>246</v>
      </c>
    </row>
    <row r="296" spans="1:4" x14ac:dyDescent="0.25">
      <c r="A296">
        <v>420</v>
      </c>
      <c r="B296" t="s">
        <v>109</v>
      </c>
      <c r="C296" t="s">
        <v>5</v>
      </c>
      <c r="D296">
        <v>280</v>
      </c>
    </row>
    <row r="297" spans="1:4" x14ac:dyDescent="0.25">
      <c r="A297">
        <v>420</v>
      </c>
      <c r="B297" t="s">
        <v>109</v>
      </c>
      <c r="C297" t="s">
        <v>6</v>
      </c>
      <c r="D297">
        <v>385</v>
      </c>
    </row>
    <row r="298" spans="1:4" x14ac:dyDescent="0.25">
      <c r="A298">
        <v>420</v>
      </c>
      <c r="B298" t="s">
        <v>109</v>
      </c>
      <c r="C298" t="s">
        <v>7</v>
      </c>
      <c r="D298">
        <v>244</v>
      </c>
    </row>
    <row r="299" spans="1:4" x14ac:dyDescent="0.25">
      <c r="A299">
        <v>421</v>
      </c>
      <c r="B299" t="s">
        <v>110</v>
      </c>
      <c r="C299" t="s">
        <v>5</v>
      </c>
      <c r="D299">
        <v>278</v>
      </c>
    </row>
    <row r="300" spans="1:4" x14ac:dyDescent="0.25">
      <c r="A300">
        <v>421</v>
      </c>
      <c r="B300" t="s">
        <v>110</v>
      </c>
      <c r="C300" t="s">
        <v>6</v>
      </c>
      <c r="D300">
        <v>384</v>
      </c>
    </row>
    <row r="301" spans="1:4" x14ac:dyDescent="0.25">
      <c r="A301">
        <v>421</v>
      </c>
      <c r="B301" t="s">
        <v>110</v>
      </c>
      <c r="C301" t="s">
        <v>7</v>
      </c>
      <c r="D301">
        <v>243</v>
      </c>
    </row>
    <row r="302" spans="1:4" x14ac:dyDescent="0.25">
      <c r="A302">
        <v>422</v>
      </c>
      <c r="B302" t="s">
        <v>111</v>
      </c>
      <c r="C302" t="s">
        <v>5</v>
      </c>
      <c r="D302">
        <v>515</v>
      </c>
    </row>
    <row r="303" spans="1:4" x14ac:dyDescent="0.25">
      <c r="A303">
        <v>422</v>
      </c>
      <c r="B303" t="s">
        <v>111</v>
      </c>
      <c r="C303" t="s">
        <v>6</v>
      </c>
      <c r="D303">
        <v>497</v>
      </c>
    </row>
    <row r="304" spans="1:4" x14ac:dyDescent="0.25">
      <c r="A304">
        <v>422</v>
      </c>
      <c r="B304" t="s">
        <v>111</v>
      </c>
      <c r="C304" t="s">
        <v>7</v>
      </c>
      <c r="D304">
        <v>620</v>
      </c>
    </row>
    <row r="305" spans="1:4" x14ac:dyDescent="0.25">
      <c r="A305">
        <v>423</v>
      </c>
      <c r="B305" t="s">
        <v>112</v>
      </c>
      <c r="C305" t="s">
        <v>5</v>
      </c>
      <c r="D305">
        <v>513</v>
      </c>
    </row>
    <row r="306" spans="1:4" x14ac:dyDescent="0.25">
      <c r="A306">
        <v>423</v>
      </c>
      <c r="B306" t="s">
        <v>112</v>
      </c>
      <c r="C306" t="s">
        <v>6</v>
      </c>
      <c r="D306">
        <v>496</v>
      </c>
    </row>
    <row r="307" spans="1:4" x14ac:dyDescent="0.25">
      <c r="A307">
        <v>423</v>
      </c>
      <c r="B307" t="s">
        <v>112</v>
      </c>
      <c r="C307" t="s">
        <v>7</v>
      </c>
      <c r="D307">
        <v>619</v>
      </c>
    </row>
    <row r="308" spans="1:4" x14ac:dyDescent="0.25">
      <c r="A308">
        <v>424</v>
      </c>
      <c r="B308" t="s">
        <v>113</v>
      </c>
      <c r="C308" t="s">
        <v>5</v>
      </c>
      <c r="D308">
        <v>512</v>
      </c>
    </row>
    <row r="309" spans="1:4" x14ac:dyDescent="0.25">
      <c r="A309">
        <v>424</v>
      </c>
      <c r="B309" t="s">
        <v>113</v>
      </c>
      <c r="C309" t="s">
        <v>6</v>
      </c>
      <c r="D309">
        <v>494</v>
      </c>
    </row>
    <row r="310" spans="1:4" x14ac:dyDescent="0.25">
      <c r="A310">
        <v>424</v>
      </c>
      <c r="B310" t="s">
        <v>113</v>
      </c>
      <c r="C310" t="s">
        <v>7</v>
      </c>
      <c r="D310">
        <v>617</v>
      </c>
    </row>
    <row r="311" spans="1:4" x14ac:dyDescent="0.25">
      <c r="A311">
        <v>425</v>
      </c>
      <c r="B311" t="s">
        <v>114</v>
      </c>
      <c r="C311" t="s">
        <v>5</v>
      </c>
      <c r="D311">
        <v>510</v>
      </c>
    </row>
    <row r="312" spans="1:4" x14ac:dyDescent="0.25">
      <c r="A312">
        <v>425</v>
      </c>
      <c r="B312" t="s">
        <v>114</v>
      </c>
      <c r="C312" t="s">
        <v>6</v>
      </c>
      <c r="D312">
        <v>492</v>
      </c>
    </row>
    <row r="313" spans="1:4" x14ac:dyDescent="0.25">
      <c r="A313">
        <v>425</v>
      </c>
      <c r="B313" t="s">
        <v>114</v>
      </c>
      <c r="C313" t="s">
        <v>7</v>
      </c>
      <c r="D313">
        <v>616</v>
      </c>
    </row>
    <row r="314" spans="1:4" x14ac:dyDescent="0.25">
      <c r="A314">
        <v>426</v>
      </c>
      <c r="B314" t="s">
        <v>115</v>
      </c>
      <c r="C314" t="s">
        <v>5</v>
      </c>
      <c r="D314">
        <v>508</v>
      </c>
    </row>
    <row r="315" spans="1:4" x14ac:dyDescent="0.25">
      <c r="A315">
        <v>426</v>
      </c>
      <c r="B315" t="s">
        <v>115</v>
      </c>
      <c r="C315" t="s">
        <v>6</v>
      </c>
      <c r="D315">
        <v>491</v>
      </c>
    </row>
    <row r="316" spans="1:4" x14ac:dyDescent="0.25">
      <c r="A316">
        <v>426</v>
      </c>
      <c r="B316" t="s">
        <v>115</v>
      </c>
      <c r="C316" t="s">
        <v>7</v>
      </c>
      <c r="D316">
        <v>614</v>
      </c>
    </row>
    <row r="317" spans="1:4" x14ac:dyDescent="0.25">
      <c r="A317">
        <v>427</v>
      </c>
      <c r="B317" t="s">
        <v>116</v>
      </c>
      <c r="C317" t="s">
        <v>5</v>
      </c>
      <c r="D317">
        <v>507</v>
      </c>
    </row>
    <row r="318" spans="1:4" x14ac:dyDescent="0.25">
      <c r="A318">
        <v>427</v>
      </c>
      <c r="B318" t="s">
        <v>116</v>
      </c>
      <c r="C318" t="s">
        <v>6</v>
      </c>
      <c r="D318">
        <v>489</v>
      </c>
    </row>
    <row r="319" spans="1:4" x14ac:dyDescent="0.25">
      <c r="A319">
        <v>427</v>
      </c>
      <c r="B319" t="s">
        <v>116</v>
      </c>
      <c r="C319" t="s">
        <v>7</v>
      </c>
      <c r="D319">
        <v>612</v>
      </c>
    </row>
    <row r="320" spans="1:4" x14ac:dyDescent="0.25">
      <c r="A320">
        <v>428</v>
      </c>
      <c r="B320" t="s">
        <v>117</v>
      </c>
      <c r="C320" t="s">
        <v>5</v>
      </c>
      <c r="D320">
        <v>505</v>
      </c>
    </row>
    <row r="321" spans="1:4" x14ac:dyDescent="0.25">
      <c r="A321">
        <v>428</v>
      </c>
      <c r="B321" t="s">
        <v>117</v>
      </c>
      <c r="C321" t="s">
        <v>6</v>
      </c>
      <c r="D321">
        <v>488</v>
      </c>
    </row>
    <row r="322" spans="1:4" x14ac:dyDescent="0.25">
      <c r="A322">
        <v>428</v>
      </c>
      <c r="B322" t="s">
        <v>117</v>
      </c>
      <c r="C322" t="s">
        <v>7</v>
      </c>
      <c r="D322">
        <v>611</v>
      </c>
    </row>
    <row r="323" spans="1:4" x14ac:dyDescent="0.25">
      <c r="A323">
        <v>429</v>
      </c>
      <c r="B323" t="s">
        <v>118</v>
      </c>
      <c r="C323" t="s">
        <v>5</v>
      </c>
      <c r="D323">
        <v>504</v>
      </c>
    </row>
    <row r="324" spans="1:4" x14ac:dyDescent="0.25">
      <c r="A324">
        <v>429</v>
      </c>
      <c r="B324" t="s">
        <v>118</v>
      </c>
      <c r="C324" t="s">
        <v>6</v>
      </c>
      <c r="D324">
        <v>486</v>
      </c>
    </row>
    <row r="325" spans="1:4" x14ac:dyDescent="0.25">
      <c r="A325">
        <v>429</v>
      </c>
      <c r="B325" t="s">
        <v>118</v>
      </c>
      <c r="C325" t="s">
        <v>7</v>
      </c>
      <c r="D325">
        <v>609</v>
      </c>
    </row>
    <row r="326" spans="1:4" x14ac:dyDescent="0.25">
      <c r="A326">
        <v>430</v>
      </c>
      <c r="B326" t="s">
        <v>119</v>
      </c>
      <c r="C326" t="s">
        <v>5</v>
      </c>
      <c r="D326">
        <v>502</v>
      </c>
    </row>
    <row r="327" spans="1:4" x14ac:dyDescent="0.25">
      <c r="A327">
        <v>430</v>
      </c>
      <c r="B327" t="s">
        <v>119</v>
      </c>
      <c r="C327" t="s">
        <v>6</v>
      </c>
      <c r="D327">
        <v>484</v>
      </c>
    </row>
    <row r="328" spans="1:4" x14ac:dyDescent="0.25">
      <c r="A328">
        <v>430</v>
      </c>
      <c r="B328" t="s">
        <v>119</v>
      </c>
      <c r="C328" t="s">
        <v>7</v>
      </c>
      <c r="D328">
        <v>608</v>
      </c>
    </row>
    <row r="329" spans="1:4" x14ac:dyDescent="0.25">
      <c r="A329">
        <v>431</v>
      </c>
      <c r="B329" t="s">
        <v>120</v>
      </c>
      <c r="C329" t="s">
        <v>5</v>
      </c>
      <c r="D329">
        <v>505</v>
      </c>
    </row>
    <row r="330" spans="1:4" x14ac:dyDescent="0.25">
      <c r="A330">
        <v>431</v>
      </c>
      <c r="B330" t="s">
        <v>120</v>
      </c>
      <c r="C330" t="s">
        <v>6</v>
      </c>
      <c r="D330">
        <v>488</v>
      </c>
    </row>
    <row r="331" spans="1:4" x14ac:dyDescent="0.25">
      <c r="A331">
        <v>431</v>
      </c>
      <c r="B331" t="s">
        <v>120</v>
      </c>
      <c r="C331" t="s">
        <v>7</v>
      </c>
      <c r="D331">
        <v>611</v>
      </c>
    </row>
    <row r="332" spans="1:4" x14ac:dyDescent="0.25">
      <c r="A332">
        <v>432</v>
      </c>
      <c r="B332" t="s">
        <v>121</v>
      </c>
      <c r="C332" t="s">
        <v>5</v>
      </c>
      <c r="D332">
        <v>508</v>
      </c>
    </row>
    <row r="333" spans="1:4" x14ac:dyDescent="0.25">
      <c r="A333">
        <v>432</v>
      </c>
      <c r="B333" t="s">
        <v>121</v>
      </c>
      <c r="C333" t="s">
        <v>6</v>
      </c>
      <c r="D333">
        <v>491</v>
      </c>
    </row>
    <row r="334" spans="1:4" x14ac:dyDescent="0.25">
      <c r="A334">
        <v>432</v>
      </c>
      <c r="B334" t="s">
        <v>121</v>
      </c>
      <c r="C334" t="s">
        <v>7</v>
      </c>
      <c r="D334">
        <v>614</v>
      </c>
    </row>
    <row r="335" spans="1:4" x14ac:dyDescent="0.25">
      <c r="A335">
        <v>433</v>
      </c>
      <c r="B335" t="s">
        <v>122</v>
      </c>
      <c r="C335" t="s">
        <v>5</v>
      </c>
      <c r="D335">
        <v>512</v>
      </c>
    </row>
    <row r="336" spans="1:4" x14ac:dyDescent="0.25">
      <c r="A336">
        <v>433</v>
      </c>
      <c r="B336" t="s">
        <v>122</v>
      </c>
      <c r="C336" t="s">
        <v>6</v>
      </c>
      <c r="D336">
        <v>494</v>
      </c>
    </row>
    <row r="337" spans="1:4" x14ac:dyDescent="0.25">
      <c r="A337">
        <v>433</v>
      </c>
      <c r="B337" t="s">
        <v>122</v>
      </c>
      <c r="C337" t="s">
        <v>7</v>
      </c>
      <c r="D337">
        <v>617</v>
      </c>
    </row>
    <row r="338" spans="1:4" x14ac:dyDescent="0.25">
      <c r="A338">
        <v>434</v>
      </c>
      <c r="B338" t="s">
        <v>123</v>
      </c>
      <c r="C338" t="s">
        <v>5</v>
      </c>
      <c r="D338">
        <v>515</v>
      </c>
    </row>
    <row r="339" spans="1:4" x14ac:dyDescent="0.25">
      <c r="A339">
        <v>434</v>
      </c>
      <c r="B339" t="s">
        <v>123</v>
      </c>
      <c r="C339" t="s">
        <v>6</v>
      </c>
      <c r="D339">
        <v>497</v>
      </c>
    </row>
    <row r="340" spans="1:4" x14ac:dyDescent="0.25">
      <c r="A340">
        <v>434</v>
      </c>
      <c r="B340" t="s">
        <v>123</v>
      </c>
      <c r="C340" t="s">
        <v>7</v>
      </c>
      <c r="D340">
        <v>620</v>
      </c>
    </row>
    <row r="341" spans="1:4" x14ac:dyDescent="0.25">
      <c r="A341">
        <v>435</v>
      </c>
      <c r="B341" t="s">
        <v>124</v>
      </c>
      <c r="C341" t="s">
        <v>5</v>
      </c>
      <c r="D341">
        <v>518</v>
      </c>
    </row>
    <row r="342" spans="1:4" x14ac:dyDescent="0.25">
      <c r="A342">
        <v>435</v>
      </c>
      <c r="B342" t="s">
        <v>124</v>
      </c>
      <c r="C342" t="s">
        <v>6</v>
      </c>
      <c r="D342">
        <v>500</v>
      </c>
    </row>
    <row r="343" spans="1:4" x14ac:dyDescent="0.25">
      <c r="A343">
        <v>435</v>
      </c>
      <c r="B343" t="s">
        <v>124</v>
      </c>
      <c r="C343" t="s">
        <v>7</v>
      </c>
      <c r="D343">
        <v>624</v>
      </c>
    </row>
    <row r="344" spans="1:4" x14ac:dyDescent="0.25">
      <c r="A344">
        <v>436</v>
      </c>
      <c r="B344" t="s">
        <v>125</v>
      </c>
      <c r="C344" t="s">
        <v>5</v>
      </c>
      <c r="D344">
        <v>521</v>
      </c>
    </row>
    <row r="345" spans="1:4" x14ac:dyDescent="0.25">
      <c r="A345">
        <v>436</v>
      </c>
      <c r="B345" t="s">
        <v>125</v>
      </c>
      <c r="C345" t="s">
        <v>6</v>
      </c>
      <c r="D345">
        <v>504</v>
      </c>
    </row>
    <row r="346" spans="1:4" x14ac:dyDescent="0.25">
      <c r="A346">
        <v>436</v>
      </c>
      <c r="B346" t="s">
        <v>125</v>
      </c>
      <c r="C346" t="s">
        <v>7</v>
      </c>
      <c r="D346">
        <v>627</v>
      </c>
    </row>
    <row r="347" spans="1:4" x14ac:dyDescent="0.25">
      <c r="A347">
        <v>437</v>
      </c>
      <c r="B347" t="s">
        <v>126</v>
      </c>
      <c r="C347" t="s">
        <v>5</v>
      </c>
      <c r="D347">
        <v>524</v>
      </c>
    </row>
    <row r="348" spans="1:4" x14ac:dyDescent="0.25">
      <c r="A348">
        <v>437</v>
      </c>
      <c r="B348" t="s">
        <v>126</v>
      </c>
      <c r="C348" t="s">
        <v>6</v>
      </c>
      <c r="D348">
        <v>507</v>
      </c>
    </row>
    <row r="349" spans="1:4" x14ac:dyDescent="0.25">
      <c r="A349">
        <v>437</v>
      </c>
      <c r="B349" t="s">
        <v>126</v>
      </c>
      <c r="C349" t="s">
        <v>7</v>
      </c>
      <c r="D349">
        <v>630</v>
      </c>
    </row>
    <row r="350" spans="1:4" x14ac:dyDescent="0.25">
      <c r="A350">
        <v>438</v>
      </c>
      <c r="B350" t="s">
        <v>127</v>
      </c>
      <c r="C350" t="s">
        <v>5</v>
      </c>
      <c r="D350">
        <v>528</v>
      </c>
    </row>
    <row r="351" spans="1:4" x14ac:dyDescent="0.25">
      <c r="A351">
        <v>438</v>
      </c>
      <c r="B351" t="s">
        <v>127</v>
      </c>
      <c r="C351" t="s">
        <v>6</v>
      </c>
      <c r="D351">
        <v>510</v>
      </c>
    </row>
    <row r="352" spans="1:4" x14ac:dyDescent="0.25">
      <c r="A352">
        <v>438</v>
      </c>
      <c r="B352" t="s">
        <v>127</v>
      </c>
      <c r="C352" t="s">
        <v>7</v>
      </c>
      <c r="D352">
        <v>633</v>
      </c>
    </row>
    <row r="353" spans="1:4" x14ac:dyDescent="0.25">
      <c r="A353">
        <v>439</v>
      </c>
      <c r="B353" t="s">
        <v>128</v>
      </c>
      <c r="C353" t="s">
        <v>5</v>
      </c>
      <c r="D353">
        <v>531</v>
      </c>
    </row>
    <row r="354" spans="1:4" x14ac:dyDescent="0.25">
      <c r="A354">
        <v>439</v>
      </c>
      <c r="B354" t="s">
        <v>128</v>
      </c>
      <c r="C354" t="s">
        <v>6</v>
      </c>
      <c r="D354">
        <v>513</v>
      </c>
    </row>
    <row r="355" spans="1:4" x14ac:dyDescent="0.25">
      <c r="A355">
        <v>439</v>
      </c>
      <c r="B355" t="s">
        <v>128</v>
      </c>
      <c r="C355" t="s">
        <v>7</v>
      </c>
      <c r="D355">
        <v>636</v>
      </c>
    </row>
    <row r="356" spans="1:4" x14ac:dyDescent="0.25">
      <c r="A356">
        <v>440</v>
      </c>
      <c r="B356" t="s">
        <v>129</v>
      </c>
      <c r="C356" t="s">
        <v>5</v>
      </c>
      <c r="D356">
        <v>534</v>
      </c>
    </row>
    <row r="357" spans="1:4" x14ac:dyDescent="0.25">
      <c r="A357">
        <v>440</v>
      </c>
      <c r="B357" t="s">
        <v>129</v>
      </c>
      <c r="C357" t="s">
        <v>6</v>
      </c>
      <c r="D357">
        <v>516</v>
      </c>
    </row>
    <row r="358" spans="1:4" x14ac:dyDescent="0.25">
      <c r="A358">
        <v>440</v>
      </c>
      <c r="B358" t="s">
        <v>129</v>
      </c>
      <c r="C358" t="s">
        <v>7</v>
      </c>
      <c r="D358">
        <v>640</v>
      </c>
    </row>
    <row r="359" spans="1:4" x14ac:dyDescent="0.25">
      <c r="A359">
        <v>441</v>
      </c>
      <c r="B359" t="s">
        <v>130</v>
      </c>
      <c r="C359" t="s">
        <v>5</v>
      </c>
      <c r="D359">
        <v>529</v>
      </c>
    </row>
    <row r="360" spans="1:4" x14ac:dyDescent="0.25">
      <c r="A360">
        <v>441</v>
      </c>
      <c r="B360" t="s">
        <v>130</v>
      </c>
      <c r="C360" t="s">
        <v>6</v>
      </c>
      <c r="D360">
        <v>512</v>
      </c>
    </row>
    <row r="361" spans="1:4" x14ac:dyDescent="0.25">
      <c r="A361">
        <v>441</v>
      </c>
      <c r="B361" t="s">
        <v>130</v>
      </c>
      <c r="C361" t="s">
        <v>7</v>
      </c>
      <c r="D361">
        <v>635</v>
      </c>
    </row>
    <row r="362" spans="1:4" x14ac:dyDescent="0.25">
      <c r="A362">
        <v>442</v>
      </c>
      <c r="B362" t="s">
        <v>131</v>
      </c>
      <c r="C362" t="s">
        <v>5</v>
      </c>
      <c r="D362">
        <v>524</v>
      </c>
    </row>
    <row r="363" spans="1:4" x14ac:dyDescent="0.25">
      <c r="A363">
        <v>442</v>
      </c>
      <c r="B363" t="s">
        <v>131</v>
      </c>
      <c r="C363" t="s">
        <v>6</v>
      </c>
      <c r="D363">
        <v>507</v>
      </c>
    </row>
    <row r="364" spans="1:4" x14ac:dyDescent="0.25">
      <c r="A364">
        <v>442</v>
      </c>
      <c r="B364" t="s">
        <v>131</v>
      </c>
      <c r="C364" t="s">
        <v>7</v>
      </c>
      <c r="D364">
        <v>630</v>
      </c>
    </row>
    <row r="365" spans="1:4" x14ac:dyDescent="0.25">
      <c r="A365">
        <v>443</v>
      </c>
      <c r="B365" t="s">
        <v>132</v>
      </c>
      <c r="C365" t="s">
        <v>5</v>
      </c>
      <c r="D365">
        <v>520</v>
      </c>
    </row>
    <row r="366" spans="1:4" x14ac:dyDescent="0.25">
      <c r="A366">
        <v>443</v>
      </c>
      <c r="B366" t="s">
        <v>132</v>
      </c>
      <c r="C366" t="s">
        <v>6</v>
      </c>
      <c r="D366">
        <v>502</v>
      </c>
    </row>
    <row r="367" spans="1:4" x14ac:dyDescent="0.25">
      <c r="A367">
        <v>443</v>
      </c>
      <c r="B367" t="s">
        <v>132</v>
      </c>
      <c r="C367" t="s">
        <v>7</v>
      </c>
      <c r="D367">
        <v>625</v>
      </c>
    </row>
    <row r="368" spans="1:4" x14ac:dyDescent="0.25">
      <c r="A368">
        <v>444</v>
      </c>
      <c r="B368" t="s">
        <v>133</v>
      </c>
      <c r="C368" t="s">
        <v>5</v>
      </c>
      <c r="D368">
        <v>515</v>
      </c>
    </row>
    <row r="369" spans="1:4" x14ac:dyDescent="0.25">
      <c r="A369">
        <v>444</v>
      </c>
      <c r="B369" t="s">
        <v>133</v>
      </c>
      <c r="C369" t="s">
        <v>6</v>
      </c>
      <c r="D369">
        <v>497</v>
      </c>
    </row>
    <row r="370" spans="1:4" x14ac:dyDescent="0.25">
      <c r="A370">
        <v>444</v>
      </c>
      <c r="B370" t="s">
        <v>133</v>
      </c>
      <c r="C370" t="s">
        <v>7</v>
      </c>
      <c r="D370">
        <v>620</v>
      </c>
    </row>
    <row r="371" spans="1:4" x14ac:dyDescent="0.25">
      <c r="A371">
        <v>445</v>
      </c>
      <c r="B371" t="s">
        <v>134</v>
      </c>
      <c r="C371" t="s">
        <v>5</v>
      </c>
      <c r="D371">
        <v>510</v>
      </c>
    </row>
    <row r="372" spans="1:4" x14ac:dyDescent="0.25">
      <c r="A372">
        <v>445</v>
      </c>
      <c r="B372" t="s">
        <v>134</v>
      </c>
      <c r="C372" t="s">
        <v>6</v>
      </c>
      <c r="D372">
        <v>492</v>
      </c>
    </row>
    <row r="373" spans="1:4" x14ac:dyDescent="0.25">
      <c r="A373">
        <v>445</v>
      </c>
      <c r="B373" t="s">
        <v>134</v>
      </c>
      <c r="C373" t="s">
        <v>7</v>
      </c>
      <c r="D373">
        <v>616</v>
      </c>
    </row>
    <row r="374" spans="1:4" x14ac:dyDescent="0.25">
      <c r="A374">
        <v>446</v>
      </c>
      <c r="B374" t="s">
        <v>135</v>
      </c>
      <c r="C374" t="s">
        <v>5</v>
      </c>
      <c r="D374">
        <v>505</v>
      </c>
    </row>
    <row r="375" spans="1:4" x14ac:dyDescent="0.25">
      <c r="A375">
        <v>446</v>
      </c>
      <c r="B375" t="s">
        <v>135</v>
      </c>
      <c r="C375" t="s">
        <v>6</v>
      </c>
      <c r="D375">
        <v>488</v>
      </c>
    </row>
    <row r="376" spans="1:4" x14ac:dyDescent="0.25">
      <c r="A376">
        <v>446</v>
      </c>
      <c r="B376" t="s">
        <v>135</v>
      </c>
      <c r="C376" t="s">
        <v>7</v>
      </c>
      <c r="D376">
        <v>611</v>
      </c>
    </row>
    <row r="377" spans="1:4" x14ac:dyDescent="0.25">
      <c r="A377">
        <v>447</v>
      </c>
      <c r="B377" t="s">
        <v>136</v>
      </c>
      <c r="C377" t="s">
        <v>5</v>
      </c>
      <c r="D377">
        <v>500</v>
      </c>
    </row>
    <row r="378" spans="1:4" x14ac:dyDescent="0.25">
      <c r="A378">
        <v>447</v>
      </c>
      <c r="B378" t="s">
        <v>136</v>
      </c>
      <c r="C378" t="s">
        <v>6</v>
      </c>
      <c r="D378">
        <v>483</v>
      </c>
    </row>
    <row r="379" spans="1:4" x14ac:dyDescent="0.25">
      <c r="A379">
        <v>447</v>
      </c>
      <c r="B379" t="s">
        <v>136</v>
      </c>
      <c r="C379" t="s">
        <v>7</v>
      </c>
      <c r="D379">
        <v>606</v>
      </c>
    </row>
    <row r="380" spans="1:4" x14ac:dyDescent="0.25">
      <c r="A380">
        <v>448</v>
      </c>
      <c r="B380" t="s">
        <v>137</v>
      </c>
      <c r="C380" t="s">
        <v>5</v>
      </c>
      <c r="D380">
        <v>496</v>
      </c>
    </row>
    <row r="381" spans="1:4" x14ac:dyDescent="0.25">
      <c r="A381">
        <v>448</v>
      </c>
      <c r="B381" t="s">
        <v>137</v>
      </c>
      <c r="C381" t="s">
        <v>6</v>
      </c>
      <c r="D381">
        <v>478</v>
      </c>
    </row>
    <row r="382" spans="1:4" x14ac:dyDescent="0.25">
      <c r="A382">
        <v>448</v>
      </c>
      <c r="B382" t="s">
        <v>137</v>
      </c>
      <c r="C382" t="s">
        <v>7</v>
      </c>
      <c r="D382">
        <v>601</v>
      </c>
    </row>
    <row r="383" spans="1:4" x14ac:dyDescent="0.25">
      <c r="A383">
        <v>449</v>
      </c>
      <c r="B383" t="s">
        <v>138</v>
      </c>
      <c r="C383" t="s">
        <v>5</v>
      </c>
      <c r="D383">
        <v>491</v>
      </c>
    </row>
    <row r="384" spans="1:4" x14ac:dyDescent="0.25">
      <c r="A384">
        <v>449</v>
      </c>
      <c r="B384" t="s">
        <v>138</v>
      </c>
      <c r="C384" t="s">
        <v>6</v>
      </c>
      <c r="D384">
        <v>473</v>
      </c>
    </row>
    <row r="385" spans="1:4" x14ac:dyDescent="0.25">
      <c r="A385">
        <v>449</v>
      </c>
      <c r="B385" t="s">
        <v>138</v>
      </c>
      <c r="C385" t="s">
        <v>7</v>
      </c>
      <c r="D385">
        <v>596</v>
      </c>
    </row>
    <row r="386" spans="1:4" x14ac:dyDescent="0.25">
      <c r="A386">
        <v>450</v>
      </c>
      <c r="B386" t="s">
        <v>139</v>
      </c>
      <c r="C386" t="s">
        <v>5</v>
      </c>
      <c r="D386">
        <v>486</v>
      </c>
    </row>
    <row r="387" spans="1:4" x14ac:dyDescent="0.25">
      <c r="A387">
        <v>450</v>
      </c>
      <c r="B387" t="s">
        <v>139</v>
      </c>
      <c r="C387" t="s">
        <v>6</v>
      </c>
      <c r="D387">
        <v>468</v>
      </c>
    </row>
    <row r="388" spans="1:4" x14ac:dyDescent="0.25">
      <c r="A388">
        <v>450</v>
      </c>
      <c r="B388" t="s">
        <v>139</v>
      </c>
      <c r="C388" t="s">
        <v>7</v>
      </c>
      <c r="D388">
        <v>592</v>
      </c>
    </row>
    <row r="389" spans="1:4" x14ac:dyDescent="0.25">
      <c r="A389">
        <v>451</v>
      </c>
      <c r="B389" t="s">
        <v>140</v>
      </c>
      <c r="C389" t="s">
        <v>5</v>
      </c>
      <c r="D389">
        <v>489</v>
      </c>
    </row>
    <row r="390" spans="1:4" x14ac:dyDescent="0.25">
      <c r="A390">
        <v>451</v>
      </c>
      <c r="B390" t="s">
        <v>140</v>
      </c>
      <c r="C390" t="s">
        <v>6</v>
      </c>
      <c r="D390">
        <v>472</v>
      </c>
    </row>
    <row r="391" spans="1:4" x14ac:dyDescent="0.25">
      <c r="A391">
        <v>451</v>
      </c>
      <c r="B391" t="s">
        <v>140</v>
      </c>
      <c r="C391" t="s">
        <v>7</v>
      </c>
      <c r="D391">
        <v>595</v>
      </c>
    </row>
    <row r="392" spans="1:4" x14ac:dyDescent="0.25">
      <c r="A392">
        <v>452</v>
      </c>
      <c r="B392" t="s">
        <v>141</v>
      </c>
      <c r="C392" t="s">
        <v>5</v>
      </c>
      <c r="D392">
        <v>492</v>
      </c>
    </row>
    <row r="393" spans="1:4" x14ac:dyDescent="0.25">
      <c r="A393">
        <v>452</v>
      </c>
      <c r="B393" t="s">
        <v>141</v>
      </c>
      <c r="C393" t="s">
        <v>6</v>
      </c>
      <c r="D393">
        <v>475</v>
      </c>
    </row>
    <row r="394" spans="1:4" x14ac:dyDescent="0.25">
      <c r="A394">
        <v>452</v>
      </c>
      <c r="B394" t="s">
        <v>141</v>
      </c>
      <c r="C394" t="s">
        <v>7</v>
      </c>
      <c r="D394">
        <v>598</v>
      </c>
    </row>
    <row r="395" spans="1:4" x14ac:dyDescent="0.25">
      <c r="A395">
        <v>453</v>
      </c>
      <c r="B395" t="s">
        <v>142</v>
      </c>
      <c r="C395" t="s">
        <v>5</v>
      </c>
      <c r="D395">
        <v>496</v>
      </c>
    </row>
    <row r="396" spans="1:4" x14ac:dyDescent="0.25">
      <c r="A396">
        <v>453</v>
      </c>
      <c r="B396" t="s">
        <v>142</v>
      </c>
      <c r="C396" t="s">
        <v>6</v>
      </c>
      <c r="D396">
        <v>478</v>
      </c>
    </row>
    <row r="397" spans="1:4" x14ac:dyDescent="0.25">
      <c r="A397">
        <v>453</v>
      </c>
      <c r="B397" t="s">
        <v>142</v>
      </c>
      <c r="C397" t="s">
        <v>7</v>
      </c>
      <c r="D397">
        <v>601</v>
      </c>
    </row>
    <row r="398" spans="1:4" x14ac:dyDescent="0.25">
      <c r="A398">
        <v>454</v>
      </c>
      <c r="B398" t="s">
        <v>143</v>
      </c>
      <c r="C398" t="s">
        <v>5</v>
      </c>
      <c r="D398">
        <v>499</v>
      </c>
    </row>
    <row r="399" spans="1:4" x14ac:dyDescent="0.25">
      <c r="A399">
        <v>454</v>
      </c>
      <c r="B399" t="s">
        <v>143</v>
      </c>
      <c r="C399" t="s">
        <v>6</v>
      </c>
      <c r="D399">
        <v>481</v>
      </c>
    </row>
    <row r="400" spans="1:4" x14ac:dyDescent="0.25">
      <c r="A400">
        <v>454</v>
      </c>
      <c r="B400" t="s">
        <v>143</v>
      </c>
      <c r="C400" t="s">
        <v>7</v>
      </c>
      <c r="D400">
        <v>604</v>
      </c>
    </row>
    <row r="401" spans="1:4" x14ac:dyDescent="0.25">
      <c r="A401">
        <v>455</v>
      </c>
      <c r="B401" t="s">
        <v>144</v>
      </c>
      <c r="C401" t="s">
        <v>5</v>
      </c>
      <c r="D401">
        <v>502</v>
      </c>
    </row>
    <row r="402" spans="1:4" x14ac:dyDescent="0.25">
      <c r="A402">
        <v>455</v>
      </c>
      <c r="B402" t="s">
        <v>144</v>
      </c>
      <c r="C402" t="s">
        <v>6</v>
      </c>
      <c r="D402">
        <v>484</v>
      </c>
    </row>
    <row r="403" spans="1:4" x14ac:dyDescent="0.25">
      <c r="A403">
        <v>455</v>
      </c>
      <c r="B403" t="s">
        <v>144</v>
      </c>
      <c r="C403" t="s">
        <v>7</v>
      </c>
      <c r="D403">
        <v>608</v>
      </c>
    </row>
    <row r="404" spans="1:4" x14ac:dyDescent="0.25">
      <c r="A404">
        <v>456</v>
      </c>
      <c r="B404" t="s">
        <v>145</v>
      </c>
      <c r="C404" t="s">
        <v>5</v>
      </c>
      <c r="D404">
        <v>505</v>
      </c>
    </row>
    <row r="405" spans="1:4" x14ac:dyDescent="0.25">
      <c r="A405">
        <v>456</v>
      </c>
      <c r="B405" t="s">
        <v>145</v>
      </c>
      <c r="C405" t="s">
        <v>6</v>
      </c>
      <c r="D405">
        <v>488</v>
      </c>
    </row>
    <row r="406" spans="1:4" x14ac:dyDescent="0.25">
      <c r="A406">
        <v>456</v>
      </c>
      <c r="B406" t="s">
        <v>145</v>
      </c>
      <c r="C406" t="s">
        <v>7</v>
      </c>
      <c r="D406">
        <v>611</v>
      </c>
    </row>
    <row r="407" spans="1:4" x14ac:dyDescent="0.25">
      <c r="A407">
        <v>457</v>
      </c>
      <c r="B407" t="s">
        <v>146</v>
      </c>
      <c r="C407" t="s">
        <v>5</v>
      </c>
      <c r="D407">
        <v>508</v>
      </c>
    </row>
    <row r="408" spans="1:4" x14ac:dyDescent="0.25">
      <c r="A408">
        <v>457</v>
      </c>
      <c r="B408" t="s">
        <v>146</v>
      </c>
      <c r="C408" t="s">
        <v>6</v>
      </c>
      <c r="D408">
        <v>491</v>
      </c>
    </row>
    <row r="409" spans="1:4" x14ac:dyDescent="0.25">
      <c r="A409">
        <v>457</v>
      </c>
      <c r="B409" t="s">
        <v>146</v>
      </c>
      <c r="C409" t="s">
        <v>7</v>
      </c>
      <c r="D409">
        <v>614</v>
      </c>
    </row>
    <row r="410" spans="1:4" x14ac:dyDescent="0.25">
      <c r="A410">
        <v>458</v>
      </c>
      <c r="B410" t="s">
        <v>147</v>
      </c>
      <c r="C410" t="s">
        <v>5</v>
      </c>
      <c r="D410">
        <v>512</v>
      </c>
    </row>
    <row r="411" spans="1:4" x14ac:dyDescent="0.25">
      <c r="A411">
        <v>458</v>
      </c>
      <c r="B411" t="s">
        <v>147</v>
      </c>
      <c r="C411" t="s">
        <v>6</v>
      </c>
      <c r="D411">
        <v>494</v>
      </c>
    </row>
    <row r="412" spans="1:4" x14ac:dyDescent="0.25">
      <c r="A412">
        <v>458</v>
      </c>
      <c r="B412" t="s">
        <v>147</v>
      </c>
      <c r="C412" t="s">
        <v>7</v>
      </c>
      <c r="D412">
        <v>617</v>
      </c>
    </row>
    <row r="413" spans="1:4" x14ac:dyDescent="0.25">
      <c r="A413">
        <v>459</v>
      </c>
      <c r="B413" t="s">
        <v>148</v>
      </c>
      <c r="C413" t="s">
        <v>5</v>
      </c>
      <c r="D413">
        <v>515</v>
      </c>
    </row>
    <row r="414" spans="1:4" x14ac:dyDescent="0.25">
      <c r="A414">
        <v>459</v>
      </c>
      <c r="B414" t="s">
        <v>148</v>
      </c>
      <c r="C414" t="s">
        <v>6</v>
      </c>
      <c r="D414">
        <v>497</v>
      </c>
    </row>
    <row r="415" spans="1:4" x14ac:dyDescent="0.25">
      <c r="A415">
        <v>459</v>
      </c>
      <c r="B415" t="s">
        <v>148</v>
      </c>
      <c r="C415" t="s">
        <v>7</v>
      </c>
      <c r="D415">
        <v>620</v>
      </c>
    </row>
    <row r="416" spans="1:4" x14ac:dyDescent="0.25">
      <c r="A416">
        <v>460</v>
      </c>
      <c r="B416" t="s">
        <v>149</v>
      </c>
      <c r="C416" t="s">
        <v>5</v>
      </c>
      <c r="D416">
        <v>518</v>
      </c>
    </row>
    <row r="417" spans="1:4" x14ac:dyDescent="0.25">
      <c r="A417">
        <v>460</v>
      </c>
      <c r="B417" t="s">
        <v>149</v>
      </c>
      <c r="C417" t="s">
        <v>6</v>
      </c>
      <c r="D417">
        <v>500</v>
      </c>
    </row>
    <row r="418" spans="1:4" x14ac:dyDescent="0.25">
      <c r="A418">
        <v>460</v>
      </c>
      <c r="B418" t="s">
        <v>149</v>
      </c>
      <c r="C418" t="s">
        <v>7</v>
      </c>
      <c r="D418">
        <v>624</v>
      </c>
    </row>
    <row r="419" spans="1:4" x14ac:dyDescent="0.25">
      <c r="A419">
        <v>461</v>
      </c>
      <c r="B419" t="s">
        <v>150</v>
      </c>
      <c r="C419" t="s">
        <v>5</v>
      </c>
      <c r="D419">
        <v>521</v>
      </c>
    </row>
    <row r="420" spans="1:4" x14ac:dyDescent="0.25">
      <c r="A420">
        <v>461</v>
      </c>
      <c r="B420" t="s">
        <v>150</v>
      </c>
      <c r="C420" t="s">
        <v>6</v>
      </c>
      <c r="D420">
        <v>504</v>
      </c>
    </row>
    <row r="421" spans="1:4" x14ac:dyDescent="0.25">
      <c r="A421">
        <v>461</v>
      </c>
      <c r="B421" t="s">
        <v>150</v>
      </c>
      <c r="C421" t="s">
        <v>7</v>
      </c>
      <c r="D421">
        <v>627</v>
      </c>
    </row>
    <row r="422" spans="1:4" x14ac:dyDescent="0.25">
      <c r="A422">
        <v>462</v>
      </c>
      <c r="B422" t="s">
        <v>151</v>
      </c>
      <c r="C422" t="s">
        <v>5</v>
      </c>
      <c r="D422">
        <v>204</v>
      </c>
    </row>
    <row r="423" spans="1:4" x14ac:dyDescent="0.25">
      <c r="A423">
        <v>462</v>
      </c>
      <c r="B423" t="s">
        <v>151</v>
      </c>
      <c r="C423" t="s">
        <v>6</v>
      </c>
      <c r="D423">
        <v>187</v>
      </c>
    </row>
    <row r="424" spans="1:4" x14ac:dyDescent="0.25">
      <c r="A424">
        <v>462</v>
      </c>
      <c r="B424" t="s">
        <v>151</v>
      </c>
      <c r="C424" t="s">
        <v>7</v>
      </c>
      <c r="D424">
        <v>310</v>
      </c>
    </row>
    <row r="425" spans="1:4" x14ac:dyDescent="0.25">
      <c r="A425">
        <v>463</v>
      </c>
      <c r="B425" t="s">
        <v>152</v>
      </c>
      <c r="C425" t="s">
        <v>5</v>
      </c>
      <c r="D425">
        <v>566</v>
      </c>
    </row>
    <row r="426" spans="1:4" x14ac:dyDescent="0.25">
      <c r="A426">
        <v>463</v>
      </c>
      <c r="B426" t="s">
        <v>152</v>
      </c>
      <c r="C426" t="s">
        <v>6</v>
      </c>
      <c r="D426">
        <v>620</v>
      </c>
    </row>
    <row r="427" spans="1:4" x14ac:dyDescent="0.25">
      <c r="A427">
        <v>463</v>
      </c>
      <c r="B427" t="s">
        <v>152</v>
      </c>
      <c r="C427" t="s">
        <v>7</v>
      </c>
      <c r="D427">
        <v>499</v>
      </c>
    </row>
    <row r="428" spans="1:4" x14ac:dyDescent="0.25">
      <c r="A428">
        <v>464</v>
      </c>
      <c r="B428" t="s">
        <v>153</v>
      </c>
      <c r="C428" t="s">
        <v>5</v>
      </c>
      <c r="D428">
        <v>568</v>
      </c>
    </row>
    <row r="429" spans="1:4" x14ac:dyDescent="0.25">
      <c r="A429">
        <v>464</v>
      </c>
      <c r="B429" t="s">
        <v>153</v>
      </c>
      <c r="C429" t="s">
        <v>6</v>
      </c>
      <c r="D429">
        <v>622</v>
      </c>
    </row>
    <row r="430" spans="1:4" x14ac:dyDescent="0.25">
      <c r="A430">
        <v>464</v>
      </c>
      <c r="B430" t="s">
        <v>153</v>
      </c>
      <c r="C430" t="s">
        <v>7</v>
      </c>
      <c r="D430">
        <v>500</v>
      </c>
    </row>
    <row r="431" spans="1:4" x14ac:dyDescent="0.25">
      <c r="A431">
        <v>465</v>
      </c>
      <c r="B431" t="s">
        <v>154</v>
      </c>
      <c r="C431" t="s">
        <v>5</v>
      </c>
      <c r="D431">
        <v>569</v>
      </c>
    </row>
    <row r="432" spans="1:4" x14ac:dyDescent="0.25">
      <c r="A432">
        <v>465</v>
      </c>
      <c r="B432" t="s">
        <v>154</v>
      </c>
      <c r="C432" t="s">
        <v>6</v>
      </c>
      <c r="D432">
        <v>624</v>
      </c>
    </row>
    <row r="433" spans="1:4" x14ac:dyDescent="0.25">
      <c r="A433">
        <v>465</v>
      </c>
      <c r="B433" t="s">
        <v>154</v>
      </c>
      <c r="C433" t="s">
        <v>7</v>
      </c>
      <c r="D433">
        <v>502</v>
      </c>
    </row>
    <row r="434" spans="1:4" x14ac:dyDescent="0.25">
      <c r="A434">
        <v>466</v>
      </c>
      <c r="B434" t="s">
        <v>155</v>
      </c>
      <c r="C434" t="s">
        <v>5</v>
      </c>
      <c r="D434">
        <v>571</v>
      </c>
    </row>
    <row r="435" spans="1:4" x14ac:dyDescent="0.25">
      <c r="A435">
        <v>466</v>
      </c>
      <c r="B435" t="s">
        <v>155</v>
      </c>
      <c r="C435" t="s">
        <v>6</v>
      </c>
      <c r="D435">
        <v>625</v>
      </c>
    </row>
    <row r="436" spans="1:4" x14ac:dyDescent="0.25">
      <c r="A436">
        <v>466</v>
      </c>
      <c r="B436" t="s">
        <v>155</v>
      </c>
      <c r="C436" t="s">
        <v>7</v>
      </c>
      <c r="D436">
        <v>504</v>
      </c>
    </row>
    <row r="437" spans="1:4" x14ac:dyDescent="0.25">
      <c r="A437">
        <v>467</v>
      </c>
      <c r="B437" t="s">
        <v>156</v>
      </c>
      <c r="C437" t="s">
        <v>5</v>
      </c>
      <c r="D437">
        <v>572</v>
      </c>
    </row>
    <row r="438" spans="1:4" x14ac:dyDescent="0.25">
      <c r="A438">
        <v>467</v>
      </c>
      <c r="B438" t="s">
        <v>156</v>
      </c>
      <c r="C438" t="s">
        <v>6</v>
      </c>
      <c r="D438">
        <v>627</v>
      </c>
    </row>
    <row r="439" spans="1:4" x14ac:dyDescent="0.25">
      <c r="A439">
        <v>467</v>
      </c>
      <c r="B439" t="s">
        <v>156</v>
      </c>
      <c r="C439" t="s">
        <v>7</v>
      </c>
      <c r="D439">
        <v>505</v>
      </c>
    </row>
    <row r="440" spans="1:4" x14ac:dyDescent="0.25">
      <c r="A440">
        <v>468</v>
      </c>
      <c r="B440" t="s">
        <v>157</v>
      </c>
      <c r="C440" t="s">
        <v>5</v>
      </c>
      <c r="D440">
        <v>574</v>
      </c>
    </row>
    <row r="441" spans="1:4" x14ac:dyDescent="0.25">
      <c r="A441">
        <v>468</v>
      </c>
      <c r="B441" t="s">
        <v>157</v>
      </c>
      <c r="C441" t="s">
        <v>6</v>
      </c>
      <c r="D441">
        <v>628</v>
      </c>
    </row>
    <row r="442" spans="1:4" x14ac:dyDescent="0.25">
      <c r="A442">
        <v>468</v>
      </c>
      <c r="B442" t="s">
        <v>157</v>
      </c>
      <c r="C442" t="s">
        <v>7</v>
      </c>
      <c r="D442">
        <v>507</v>
      </c>
    </row>
    <row r="443" spans="1:4" x14ac:dyDescent="0.25">
      <c r="A443">
        <v>469</v>
      </c>
      <c r="B443" t="s">
        <v>158</v>
      </c>
      <c r="C443" t="s">
        <v>5</v>
      </c>
      <c r="D443">
        <v>576</v>
      </c>
    </row>
    <row r="444" spans="1:4" x14ac:dyDescent="0.25">
      <c r="A444">
        <v>469</v>
      </c>
      <c r="B444" t="s">
        <v>158</v>
      </c>
      <c r="C444" t="s">
        <v>6</v>
      </c>
      <c r="D444">
        <v>630</v>
      </c>
    </row>
    <row r="445" spans="1:4" x14ac:dyDescent="0.25">
      <c r="A445">
        <v>469</v>
      </c>
      <c r="B445" t="s">
        <v>158</v>
      </c>
      <c r="C445" t="s">
        <v>7</v>
      </c>
      <c r="D445">
        <v>508</v>
      </c>
    </row>
    <row r="446" spans="1:4" x14ac:dyDescent="0.25">
      <c r="A446">
        <v>470</v>
      </c>
      <c r="B446" t="s">
        <v>159</v>
      </c>
      <c r="C446" t="s">
        <v>5</v>
      </c>
      <c r="D446">
        <v>577</v>
      </c>
    </row>
    <row r="447" spans="1:4" x14ac:dyDescent="0.25">
      <c r="A447">
        <v>470</v>
      </c>
      <c r="B447" t="s">
        <v>159</v>
      </c>
      <c r="C447" t="s">
        <v>6</v>
      </c>
      <c r="D447">
        <v>632</v>
      </c>
    </row>
    <row r="448" spans="1:4" x14ac:dyDescent="0.25">
      <c r="A448">
        <v>470</v>
      </c>
      <c r="B448" t="s">
        <v>159</v>
      </c>
      <c r="C448" t="s">
        <v>7</v>
      </c>
      <c r="D448">
        <v>510</v>
      </c>
    </row>
    <row r="449" spans="1:4" x14ac:dyDescent="0.25">
      <c r="A449">
        <v>471</v>
      </c>
      <c r="B449" t="s">
        <v>160</v>
      </c>
      <c r="C449" t="s">
        <v>5</v>
      </c>
      <c r="D449">
        <v>579</v>
      </c>
    </row>
    <row r="450" spans="1:4" x14ac:dyDescent="0.25">
      <c r="A450">
        <v>471</v>
      </c>
      <c r="B450" t="s">
        <v>160</v>
      </c>
      <c r="C450" t="s">
        <v>6</v>
      </c>
      <c r="D450">
        <v>633</v>
      </c>
    </row>
    <row r="451" spans="1:4" x14ac:dyDescent="0.25">
      <c r="A451">
        <v>471</v>
      </c>
      <c r="B451" t="s">
        <v>160</v>
      </c>
      <c r="C451" t="s">
        <v>7</v>
      </c>
      <c r="D451">
        <v>512</v>
      </c>
    </row>
    <row r="452" spans="1:4" x14ac:dyDescent="0.25">
      <c r="A452">
        <v>472</v>
      </c>
      <c r="B452" t="s">
        <v>161</v>
      </c>
      <c r="C452" t="s">
        <v>5</v>
      </c>
      <c r="D452">
        <v>580</v>
      </c>
    </row>
    <row r="453" spans="1:4" x14ac:dyDescent="0.25">
      <c r="A453">
        <v>472</v>
      </c>
      <c r="B453" t="s">
        <v>161</v>
      </c>
      <c r="C453" t="s">
        <v>6</v>
      </c>
      <c r="D453">
        <v>635</v>
      </c>
    </row>
    <row r="454" spans="1:4" x14ac:dyDescent="0.25">
      <c r="A454">
        <v>472</v>
      </c>
      <c r="B454" t="s">
        <v>161</v>
      </c>
      <c r="C454" t="s">
        <v>7</v>
      </c>
      <c r="D454">
        <v>513</v>
      </c>
    </row>
    <row r="455" spans="1:4" x14ac:dyDescent="0.25">
      <c r="A455">
        <v>473</v>
      </c>
      <c r="B455" t="s">
        <v>162</v>
      </c>
      <c r="C455" t="s">
        <v>5</v>
      </c>
      <c r="D455">
        <v>582</v>
      </c>
    </row>
    <row r="456" spans="1:4" x14ac:dyDescent="0.25">
      <c r="A456">
        <v>473</v>
      </c>
      <c r="B456" t="s">
        <v>162</v>
      </c>
      <c r="C456" t="s">
        <v>6</v>
      </c>
      <c r="D456">
        <v>636</v>
      </c>
    </row>
    <row r="457" spans="1:4" x14ac:dyDescent="0.25">
      <c r="A457">
        <v>473</v>
      </c>
      <c r="B457" t="s">
        <v>162</v>
      </c>
      <c r="C457" t="s">
        <v>7</v>
      </c>
      <c r="D457">
        <v>515</v>
      </c>
    </row>
    <row r="458" spans="1:4" x14ac:dyDescent="0.25">
      <c r="A458">
        <v>474</v>
      </c>
      <c r="B458" t="s">
        <v>163</v>
      </c>
      <c r="C458" t="s">
        <v>5</v>
      </c>
      <c r="D458">
        <v>584</v>
      </c>
    </row>
    <row r="459" spans="1:4" x14ac:dyDescent="0.25">
      <c r="A459">
        <v>474</v>
      </c>
      <c r="B459" t="s">
        <v>163</v>
      </c>
      <c r="C459" t="s">
        <v>6</v>
      </c>
      <c r="D459">
        <v>638</v>
      </c>
    </row>
    <row r="460" spans="1:4" x14ac:dyDescent="0.25">
      <c r="A460">
        <v>474</v>
      </c>
      <c r="B460" t="s">
        <v>163</v>
      </c>
      <c r="C460" t="s">
        <v>7</v>
      </c>
      <c r="D460">
        <v>516</v>
      </c>
    </row>
    <row r="461" spans="1:4" x14ac:dyDescent="0.25">
      <c r="A461">
        <v>475</v>
      </c>
      <c r="B461" t="s">
        <v>164</v>
      </c>
      <c r="C461" t="s">
        <v>5</v>
      </c>
      <c r="D461">
        <v>585</v>
      </c>
    </row>
    <row r="462" spans="1:4" x14ac:dyDescent="0.25">
      <c r="A462">
        <v>475</v>
      </c>
      <c r="B462" t="s">
        <v>164</v>
      </c>
      <c r="C462" t="s">
        <v>6</v>
      </c>
      <c r="D462">
        <v>640</v>
      </c>
    </row>
    <row r="463" spans="1:4" x14ac:dyDescent="0.25">
      <c r="A463">
        <v>475</v>
      </c>
      <c r="B463" t="s">
        <v>164</v>
      </c>
      <c r="C463" t="s">
        <v>7</v>
      </c>
      <c r="D463">
        <v>518</v>
      </c>
    </row>
    <row r="464" spans="1:4" x14ac:dyDescent="0.25">
      <c r="A464">
        <v>476</v>
      </c>
      <c r="B464" t="s">
        <v>165</v>
      </c>
      <c r="C464" t="s">
        <v>12</v>
      </c>
      <c r="D464">
        <v>404</v>
      </c>
    </row>
    <row r="465" spans="1:4" x14ac:dyDescent="0.25">
      <c r="A465">
        <v>476</v>
      </c>
      <c r="B465" t="s">
        <v>165</v>
      </c>
      <c r="C465" t="s">
        <v>87</v>
      </c>
      <c r="D465">
        <v>355</v>
      </c>
    </row>
    <row r="466" spans="1:4" x14ac:dyDescent="0.25">
      <c r="A466">
        <v>476</v>
      </c>
      <c r="B466" t="s">
        <v>165</v>
      </c>
      <c r="C466" t="s">
        <v>13</v>
      </c>
      <c r="D466">
        <v>324</v>
      </c>
    </row>
    <row r="467" spans="1:4" x14ac:dyDescent="0.25">
      <c r="A467">
        <v>477</v>
      </c>
      <c r="B467" t="s">
        <v>166</v>
      </c>
      <c r="C467" t="s">
        <v>12</v>
      </c>
      <c r="D467">
        <v>353</v>
      </c>
    </row>
    <row r="468" spans="1:4" x14ac:dyDescent="0.25">
      <c r="A468">
        <v>477</v>
      </c>
      <c r="B468" t="s">
        <v>166</v>
      </c>
      <c r="C468" t="s">
        <v>13</v>
      </c>
      <c r="D468">
        <v>323</v>
      </c>
    </row>
    <row r="469" spans="1:4" x14ac:dyDescent="0.25">
      <c r="A469">
        <v>477</v>
      </c>
      <c r="B469" t="s">
        <v>166</v>
      </c>
      <c r="C469" t="s">
        <v>167</v>
      </c>
      <c r="D469">
        <v>403</v>
      </c>
    </row>
    <row r="470" spans="1:4" x14ac:dyDescent="0.25">
      <c r="A470">
        <v>478</v>
      </c>
      <c r="B470" t="s">
        <v>168</v>
      </c>
      <c r="C470" t="s">
        <v>12</v>
      </c>
      <c r="D470">
        <v>622</v>
      </c>
    </row>
    <row r="471" spans="1:4" x14ac:dyDescent="0.25">
      <c r="A471">
        <v>478</v>
      </c>
      <c r="B471" t="s">
        <v>168</v>
      </c>
      <c r="C471" t="s">
        <v>13</v>
      </c>
      <c r="D471">
        <v>568</v>
      </c>
    </row>
    <row r="472" spans="1:4" x14ac:dyDescent="0.25">
      <c r="A472">
        <v>478</v>
      </c>
      <c r="B472" t="s">
        <v>168</v>
      </c>
      <c r="C472" t="s">
        <v>167</v>
      </c>
      <c r="D472">
        <v>497</v>
      </c>
    </row>
    <row r="473" spans="1:4" x14ac:dyDescent="0.25">
      <c r="A473">
        <v>479</v>
      </c>
      <c r="B473" t="s">
        <v>169</v>
      </c>
      <c r="C473" t="s">
        <v>12</v>
      </c>
      <c r="D473">
        <v>198</v>
      </c>
    </row>
    <row r="474" spans="1:4" x14ac:dyDescent="0.25">
      <c r="A474">
        <v>479</v>
      </c>
      <c r="B474" t="s">
        <v>169</v>
      </c>
      <c r="C474" t="s">
        <v>13</v>
      </c>
      <c r="D474">
        <v>390</v>
      </c>
    </row>
    <row r="475" spans="1:4" x14ac:dyDescent="0.25">
      <c r="A475">
        <v>479</v>
      </c>
      <c r="B475" t="s">
        <v>169</v>
      </c>
      <c r="C475" t="s">
        <v>167</v>
      </c>
      <c r="D475">
        <v>441</v>
      </c>
    </row>
    <row r="476" spans="1:4" x14ac:dyDescent="0.25">
      <c r="A476">
        <v>480</v>
      </c>
      <c r="B476" t="s">
        <v>170</v>
      </c>
      <c r="C476" t="s">
        <v>12</v>
      </c>
      <c r="D476">
        <v>457</v>
      </c>
    </row>
    <row r="477" spans="1:4" x14ac:dyDescent="0.25">
      <c r="A477">
        <v>480</v>
      </c>
      <c r="B477" t="s">
        <v>170</v>
      </c>
      <c r="C477" t="s">
        <v>13</v>
      </c>
      <c r="D477">
        <v>515</v>
      </c>
    </row>
    <row r="478" spans="1:4" x14ac:dyDescent="0.25">
      <c r="A478">
        <v>480</v>
      </c>
      <c r="B478" t="s">
        <v>170</v>
      </c>
      <c r="C478" t="s">
        <v>167</v>
      </c>
      <c r="D478">
        <v>689</v>
      </c>
    </row>
    <row r="479" spans="1:4" x14ac:dyDescent="0.25">
      <c r="A479">
        <v>481</v>
      </c>
      <c r="B479" t="s">
        <v>171</v>
      </c>
      <c r="C479" t="s">
        <v>12</v>
      </c>
      <c r="D479">
        <v>196</v>
      </c>
    </row>
    <row r="480" spans="1:4" x14ac:dyDescent="0.25">
      <c r="A480">
        <v>481</v>
      </c>
      <c r="B480" t="s">
        <v>171</v>
      </c>
      <c r="C480" t="s">
        <v>13</v>
      </c>
      <c r="D480">
        <v>374</v>
      </c>
    </row>
    <row r="481" spans="1:4" x14ac:dyDescent="0.25">
      <c r="A481">
        <v>481</v>
      </c>
      <c r="B481" t="s">
        <v>171</v>
      </c>
      <c r="C481" t="s">
        <v>167</v>
      </c>
      <c r="D481">
        <v>427</v>
      </c>
    </row>
    <row r="482" spans="1:4" x14ac:dyDescent="0.25">
      <c r="A482">
        <v>482</v>
      </c>
      <c r="B482" t="s">
        <v>172</v>
      </c>
      <c r="C482" t="s">
        <v>12</v>
      </c>
      <c r="D482">
        <v>176</v>
      </c>
    </row>
    <row r="483" spans="1:4" x14ac:dyDescent="0.25">
      <c r="A483">
        <v>482</v>
      </c>
      <c r="B483" t="s">
        <v>172</v>
      </c>
      <c r="C483" t="s">
        <v>13</v>
      </c>
      <c r="D483">
        <v>427</v>
      </c>
    </row>
    <row r="484" spans="1:4" x14ac:dyDescent="0.25">
      <c r="A484">
        <v>482</v>
      </c>
      <c r="B484" t="s">
        <v>172</v>
      </c>
      <c r="C484" t="s">
        <v>167</v>
      </c>
      <c r="D484">
        <v>321</v>
      </c>
    </row>
    <row r="485" spans="1:4" x14ac:dyDescent="0.25">
      <c r="A485">
        <v>483</v>
      </c>
      <c r="B485" t="s">
        <v>173</v>
      </c>
      <c r="C485" t="s">
        <v>12</v>
      </c>
      <c r="D485">
        <v>459</v>
      </c>
    </row>
    <row r="486" spans="1:4" x14ac:dyDescent="0.25">
      <c r="A486">
        <v>483</v>
      </c>
      <c r="B486" t="s">
        <v>173</v>
      </c>
      <c r="C486" t="s">
        <v>13</v>
      </c>
      <c r="D486">
        <v>531</v>
      </c>
    </row>
    <row r="487" spans="1:4" x14ac:dyDescent="0.25">
      <c r="A487">
        <v>483</v>
      </c>
      <c r="B487" t="s">
        <v>173</v>
      </c>
      <c r="C487" t="s">
        <v>167</v>
      </c>
      <c r="D487">
        <v>691</v>
      </c>
    </row>
    <row r="488" spans="1:4" x14ac:dyDescent="0.25">
      <c r="A488">
        <v>484</v>
      </c>
      <c r="B488" t="s">
        <v>174</v>
      </c>
      <c r="C488" t="s">
        <v>12</v>
      </c>
      <c r="D488">
        <v>196</v>
      </c>
    </row>
    <row r="489" spans="1:4" x14ac:dyDescent="0.25">
      <c r="A489">
        <v>484</v>
      </c>
      <c r="B489" t="s">
        <v>174</v>
      </c>
      <c r="C489" t="s">
        <v>13</v>
      </c>
      <c r="D489">
        <v>374</v>
      </c>
    </row>
    <row r="490" spans="1:4" x14ac:dyDescent="0.25">
      <c r="A490">
        <v>484</v>
      </c>
      <c r="B490" t="s">
        <v>174</v>
      </c>
      <c r="C490" t="s">
        <v>167</v>
      </c>
      <c r="D490">
        <v>427</v>
      </c>
    </row>
    <row r="491" spans="1:4" x14ac:dyDescent="0.25">
      <c r="A491">
        <v>485</v>
      </c>
      <c r="B491" t="s">
        <v>175</v>
      </c>
      <c r="C491" t="s">
        <v>12</v>
      </c>
      <c r="D491">
        <v>176</v>
      </c>
    </row>
    <row r="492" spans="1:4" x14ac:dyDescent="0.25">
      <c r="A492">
        <v>485</v>
      </c>
      <c r="B492" t="s">
        <v>175</v>
      </c>
      <c r="C492" t="s">
        <v>13</v>
      </c>
      <c r="D492">
        <v>427</v>
      </c>
    </row>
    <row r="493" spans="1:4" x14ac:dyDescent="0.25">
      <c r="A493">
        <v>485</v>
      </c>
      <c r="B493" t="s">
        <v>175</v>
      </c>
      <c r="C493" t="s">
        <v>167</v>
      </c>
      <c r="D493">
        <v>321</v>
      </c>
    </row>
    <row r="494" spans="1:4" x14ac:dyDescent="0.25">
      <c r="A494">
        <v>486</v>
      </c>
      <c r="B494" t="s">
        <v>176</v>
      </c>
      <c r="C494" t="s">
        <v>12</v>
      </c>
      <c r="D494">
        <v>457</v>
      </c>
    </row>
    <row r="495" spans="1:4" x14ac:dyDescent="0.25">
      <c r="A495">
        <v>486</v>
      </c>
      <c r="B495" t="s">
        <v>176</v>
      </c>
      <c r="C495" t="s">
        <v>13</v>
      </c>
      <c r="D495">
        <v>515</v>
      </c>
    </row>
    <row r="496" spans="1:4" x14ac:dyDescent="0.25">
      <c r="A496">
        <v>486</v>
      </c>
      <c r="B496" t="s">
        <v>176</v>
      </c>
      <c r="C496" t="s">
        <v>167</v>
      </c>
      <c r="D496">
        <v>689</v>
      </c>
    </row>
    <row r="497" spans="1:4" x14ac:dyDescent="0.25">
      <c r="A497">
        <v>487</v>
      </c>
      <c r="B497" t="s">
        <v>177</v>
      </c>
      <c r="C497" t="s">
        <v>12</v>
      </c>
      <c r="D497">
        <v>324</v>
      </c>
    </row>
    <row r="498" spans="1:4" x14ac:dyDescent="0.25">
      <c r="A498">
        <v>487</v>
      </c>
      <c r="B498" t="s">
        <v>177</v>
      </c>
      <c r="C498" t="s">
        <v>13</v>
      </c>
      <c r="D498">
        <v>337</v>
      </c>
    </row>
    <row r="499" spans="1:4" x14ac:dyDescent="0.25">
      <c r="A499">
        <v>487</v>
      </c>
      <c r="B499" t="s">
        <v>177</v>
      </c>
      <c r="C499" t="s">
        <v>167</v>
      </c>
      <c r="D499">
        <v>331</v>
      </c>
    </row>
    <row r="500" spans="1:4" x14ac:dyDescent="0.25">
      <c r="A500">
        <v>488</v>
      </c>
      <c r="B500" t="s">
        <v>178</v>
      </c>
      <c r="C500" t="s">
        <v>12</v>
      </c>
      <c r="D500">
        <v>305</v>
      </c>
    </row>
    <row r="501" spans="1:4" x14ac:dyDescent="0.25">
      <c r="A501">
        <v>488</v>
      </c>
      <c r="B501" t="s">
        <v>178</v>
      </c>
      <c r="C501" t="s">
        <v>13</v>
      </c>
      <c r="D501">
        <v>318</v>
      </c>
    </row>
    <row r="502" spans="1:4" x14ac:dyDescent="0.25">
      <c r="A502">
        <v>488</v>
      </c>
      <c r="B502" t="s">
        <v>178</v>
      </c>
      <c r="C502" t="s">
        <v>167</v>
      </c>
      <c r="D502">
        <v>312</v>
      </c>
    </row>
    <row r="503" spans="1:4" x14ac:dyDescent="0.25">
      <c r="A503">
        <v>489</v>
      </c>
      <c r="B503" t="s">
        <v>179</v>
      </c>
      <c r="C503" t="s">
        <v>5</v>
      </c>
      <c r="D503">
        <v>619</v>
      </c>
    </row>
    <row r="504" spans="1:4" x14ac:dyDescent="0.25">
      <c r="A504">
        <v>489</v>
      </c>
      <c r="B504" t="s">
        <v>179</v>
      </c>
      <c r="C504" t="s">
        <v>6</v>
      </c>
      <c r="D504">
        <v>606</v>
      </c>
    </row>
    <row r="505" spans="1:4" x14ac:dyDescent="0.25">
      <c r="A505">
        <v>489</v>
      </c>
      <c r="B505" t="s">
        <v>179</v>
      </c>
      <c r="C505" t="s">
        <v>7</v>
      </c>
      <c r="D505">
        <v>612</v>
      </c>
    </row>
    <row r="506" spans="1:4" x14ac:dyDescent="0.25">
      <c r="A506">
        <v>490</v>
      </c>
      <c r="B506" t="s">
        <v>180</v>
      </c>
      <c r="C506" t="s">
        <v>5</v>
      </c>
      <c r="D506">
        <v>600</v>
      </c>
    </row>
    <row r="507" spans="1:4" x14ac:dyDescent="0.25">
      <c r="A507">
        <v>490</v>
      </c>
      <c r="B507" t="s">
        <v>180</v>
      </c>
      <c r="C507" t="s">
        <v>6</v>
      </c>
      <c r="D507">
        <v>587</v>
      </c>
    </row>
    <row r="508" spans="1:4" x14ac:dyDescent="0.25">
      <c r="A508">
        <v>490</v>
      </c>
      <c r="B508" t="s">
        <v>180</v>
      </c>
      <c r="C508" t="s">
        <v>7</v>
      </c>
      <c r="D508">
        <v>593</v>
      </c>
    </row>
    <row r="509" spans="1:4" x14ac:dyDescent="0.25">
      <c r="A509">
        <v>491</v>
      </c>
      <c r="B509" t="s">
        <v>181</v>
      </c>
      <c r="C509" t="s">
        <v>5</v>
      </c>
      <c r="D509">
        <v>420</v>
      </c>
    </row>
    <row r="510" spans="1:4" x14ac:dyDescent="0.25">
      <c r="A510">
        <v>491</v>
      </c>
      <c r="B510" t="s">
        <v>181</v>
      </c>
      <c r="C510" t="s">
        <v>6</v>
      </c>
      <c r="D510">
        <v>248</v>
      </c>
    </row>
    <row r="511" spans="1:4" x14ac:dyDescent="0.25">
      <c r="A511">
        <v>491</v>
      </c>
      <c r="B511" t="s">
        <v>181</v>
      </c>
      <c r="C511" t="s">
        <v>7</v>
      </c>
      <c r="D511">
        <v>254</v>
      </c>
    </row>
    <row r="512" spans="1:4" x14ac:dyDescent="0.25">
      <c r="A512">
        <v>492</v>
      </c>
      <c r="B512" t="s">
        <v>182</v>
      </c>
      <c r="C512" t="s">
        <v>183</v>
      </c>
      <c r="D512">
        <v>16</v>
      </c>
    </row>
    <row r="513" spans="1:4" x14ac:dyDescent="0.25">
      <c r="A513">
        <v>492</v>
      </c>
      <c r="B513" t="s">
        <v>182</v>
      </c>
      <c r="C513" t="s">
        <v>184</v>
      </c>
      <c r="D513">
        <v>17</v>
      </c>
    </row>
    <row r="514" spans="1:4" x14ac:dyDescent="0.25">
      <c r="A514">
        <v>492</v>
      </c>
      <c r="B514" t="s">
        <v>182</v>
      </c>
      <c r="C514" t="s">
        <v>185</v>
      </c>
      <c r="D514">
        <v>14</v>
      </c>
    </row>
    <row r="515" spans="1:4" x14ac:dyDescent="0.25">
      <c r="A515">
        <v>493</v>
      </c>
      <c r="B515" t="s">
        <v>186</v>
      </c>
      <c r="C515" t="s">
        <v>183</v>
      </c>
      <c r="D515">
        <v>28</v>
      </c>
    </row>
    <row r="516" spans="1:4" x14ac:dyDescent="0.25">
      <c r="A516">
        <v>493</v>
      </c>
      <c r="B516" t="s">
        <v>186</v>
      </c>
      <c r="C516" t="s">
        <v>184</v>
      </c>
      <c r="D516">
        <v>41</v>
      </c>
    </row>
    <row r="517" spans="1:4" x14ac:dyDescent="0.25">
      <c r="A517">
        <v>493</v>
      </c>
      <c r="B517" t="s">
        <v>186</v>
      </c>
      <c r="C517" t="s">
        <v>185</v>
      </c>
      <c r="D517">
        <v>24</v>
      </c>
    </row>
    <row r="518" spans="1:4" x14ac:dyDescent="0.25">
      <c r="A518">
        <v>494</v>
      </c>
      <c r="B518" t="s">
        <v>187</v>
      </c>
      <c r="C518" t="s">
        <v>183</v>
      </c>
      <c r="D518">
        <v>4</v>
      </c>
    </row>
    <row r="519" spans="1:4" x14ac:dyDescent="0.25">
      <c r="A519">
        <v>494</v>
      </c>
      <c r="B519" t="s">
        <v>187</v>
      </c>
      <c r="C519" t="s">
        <v>184</v>
      </c>
      <c r="D519">
        <v>49</v>
      </c>
    </row>
    <row r="520" spans="1:4" x14ac:dyDescent="0.25">
      <c r="A520">
        <v>494</v>
      </c>
      <c r="B520" t="s">
        <v>187</v>
      </c>
      <c r="C520" t="s">
        <v>185</v>
      </c>
      <c r="D520">
        <v>12</v>
      </c>
    </row>
    <row r="521" spans="1:4" x14ac:dyDescent="0.25">
      <c r="A521">
        <v>495</v>
      </c>
      <c r="B521" t="s">
        <v>188</v>
      </c>
      <c r="C521" t="s">
        <v>183</v>
      </c>
      <c r="D521">
        <v>25</v>
      </c>
    </row>
    <row r="522" spans="1:4" x14ac:dyDescent="0.25">
      <c r="A522">
        <v>495</v>
      </c>
      <c r="B522" t="s">
        <v>188</v>
      </c>
      <c r="C522" t="s">
        <v>184</v>
      </c>
      <c r="D522">
        <v>49</v>
      </c>
    </row>
    <row r="523" spans="1:4" x14ac:dyDescent="0.25">
      <c r="A523">
        <v>495</v>
      </c>
      <c r="B523" t="s">
        <v>188</v>
      </c>
      <c r="C523" t="s">
        <v>185</v>
      </c>
      <c r="D523">
        <v>35</v>
      </c>
    </row>
    <row r="524" spans="1:4" x14ac:dyDescent="0.25">
      <c r="A524">
        <v>496</v>
      </c>
      <c r="B524" t="s">
        <v>189</v>
      </c>
      <c r="C524" t="s">
        <v>183</v>
      </c>
      <c r="D524">
        <v>44</v>
      </c>
    </row>
    <row r="525" spans="1:4" x14ac:dyDescent="0.25">
      <c r="A525">
        <v>496</v>
      </c>
      <c r="B525" t="s">
        <v>189</v>
      </c>
      <c r="C525" t="s">
        <v>184</v>
      </c>
      <c r="D525">
        <v>30</v>
      </c>
    </row>
    <row r="526" spans="1:4" x14ac:dyDescent="0.25">
      <c r="A526">
        <v>496</v>
      </c>
      <c r="B526" t="s">
        <v>189</v>
      </c>
      <c r="C526" t="s">
        <v>185</v>
      </c>
      <c r="D526">
        <v>25</v>
      </c>
    </row>
    <row r="527" spans="1:4" x14ac:dyDescent="0.25">
      <c r="A527">
        <v>497</v>
      </c>
      <c r="B527" t="s">
        <v>190</v>
      </c>
      <c r="C527" t="s">
        <v>5</v>
      </c>
      <c r="D527">
        <v>364</v>
      </c>
    </row>
    <row r="528" spans="1:4" x14ac:dyDescent="0.25">
      <c r="A528">
        <v>497</v>
      </c>
      <c r="B528" t="s">
        <v>190</v>
      </c>
      <c r="C528" t="s">
        <v>6</v>
      </c>
      <c r="D528">
        <v>273</v>
      </c>
    </row>
    <row r="529" spans="1:4" x14ac:dyDescent="0.25">
      <c r="A529">
        <v>497</v>
      </c>
      <c r="B529" t="s">
        <v>190</v>
      </c>
      <c r="C529" t="s">
        <v>7</v>
      </c>
      <c r="D529">
        <v>336</v>
      </c>
    </row>
    <row r="530" spans="1:4" x14ac:dyDescent="0.25">
      <c r="A530">
        <v>504</v>
      </c>
      <c r="B530" t="s">
        <v>191</v>
      </c>
      <c r="C530" t="s">
        <v>5</v>
      </c>
      <c r="D530">
        <v>372</v>
      </c>
    </row>
    <row r="531" spans="1:4" x14ac:dyDescent="0.25">
      <c r="A531">
        <v>504</v>
      </c>
      <c r="B531" t="s">
        <v>191</v>
      </c>
      <c r="C531" t="s">
        <v>6</v>
      </c>
      <c r="D531">
        <v>320</v>
      </c>
    </row>
    <row r="532" spans="1:4" x14ac:dyDescent="0.25">
      <c r="A532">
        <v>504</v>
      </c>
      <c r="B532" t="s">
        <v>191</v>
      </c>
      <c r="C532" t="s">
        <v>7</v>
      </c>
      <c r="D532">
        <v>392</v>
      </c>
    </row>
    <row r="533" spans="1:4" x14ac:dyDescent="0.25">
      <c r="A533">
        <v>505</v>
      </c>
      <c r="B533" t="s">
        <v>192</v>
      </c>
      <c r="C533" t="s">
        <v>5</v>
      </c>
      <c r="D533">
        <v>299</v>
      </c>
    </row>
    <row r="534" spans="1:4" x14ac:dyDescent="0.25">
      <c r="A534">
        <v>505</v>
      </c>
      <c r="B534" t="s">
        <v>192</v>
      </c>
      <c r="C534" t="s">
        <v>6</v>
      </c>
      <c r="D534">
        <v>283</v>
      </c>
    </row>
    <row r="535" spans="1:4" x14ac:dyDescent="0.25">
      <c r="A535">
        <v>505</v>
      </c>
      <c r="B535" t="s">
        <v>192</v>
      </c>
      <c r="C535" t="s">
        <v>7</v>
      </c>
      <c r="D535">
        <v>388</v>
      </c>
    </row>
    <row r="536" spans="1:4" x14ac:dyDescent="0.25">
      <c r="A536">
        <v>506</v>
      </c>
      <c r="B536" t="s">
        <v>193</v>
      </c>
      <c r="C536" t="s">
        <v>5</v>
      </c>
      <c r="D536">
        <v>390</v>
      </c>
    </row>
    <row r="537" spans="1:4" x14ac:dyDescent="0.25">
      <c r="A537">
        <v>506</v>
      </c>
      <c r="B537" t="s">
        <v>193</v>
      </c>
      <c r="C537" t="s">
        <v>6</v>
      </c>
      <c r="D537">
        <v>121</v>
      </c>
    </row>
    <row r="538" spans="1:4" x14ac:dyDescent="0.25">
      <c r="A538">
        <v>506</v>
      </c>
      <c r="B538" t="s">
        <v>193</v>
      </c>
      <c r="C538" t="s">
        <v>7</v>
      </c>
      <c r="D538">
        <v>316</v>
      </c>
    </row>
    <row r="539" spans="1:4" x14ac:dyDescent="0.25">
      <c r="A539">
        <v>507</v>
      </c>
      <c r="B539" t="s">
        <v>194</v>
      </c>
      <c r="C539" t="s">
        <v>5</v>
      </c>
      <c r="D539">
        <v>673</v>
      </c>
    </row>
    <row r="540" spans="1:4" x14ac:dyDescent="0.25">
      <c r="A540">
        <v>507</v>
      </c>
      <c r="B540" t="s">
        <v>194</v>
      </c>
      <c r="C540" t="s">
        <v>6</v>
      </c>
      <c r="D540">
        <v>542</v>
      </c>
    </row>
    <row r="541" spans="1:4" x14ac:dyDescent="0.25">
      <c r="A541">
        <v>508</v>
      </c>
      <c r="B541" t="s">
        <v>195</v>
      </c>
      <c r="C541" t="s">
        <v>5</v>
      </c>
      <c r="D541">
        <v>681</v>
      </c>
    </row>
    <row r="542" spans="1:4" x14ac:dyDescent="0.25">
      <c r="A542">
        <v>508</v>
      </c>
      <c r="B542" t="s">
        <v>195</v>
      </c>
      <c r="C542" t="s">
        <v>6</v>
      </c>
      <c r="D542">
        <v>550</v>
      </c>
    </row>
    <row r="543" spans="1:4" x14ac:dyDescent="0.25">
      <c r="A543">
        <v>509</v>
      </c>
      <c r="B543" t="s">
        <v>196</v>
      </c>
      <c r="C543" t="s">
        <v>5</v>
      </c>
      <c r="D543">
        <v>689</v>
      </c>
    </row>
    <row r="544" spans="1:4" x14ac:dyDescent="0.25">
      <c r="A544">
        <v>509</v>
      </c>
      <c r="B544" t="s">
        <v>196</v>
      </c>
      <c r="C544" t="s">
        <v>6</v>
      </c>
      <c r="D544">
        <v>558</v>
      </c>
    </row>
    <row r="545" spans="1:4" x14ac:dyDescent="0.25">
      <c r="A545">
        <v>510</v>
      </c>
      <c r="B545" t="s">
        <v>197</v>
      </c>
      <c r="C545" t="s">
        <v>5</v>
      </c>
      <c r="D545">
        <v>406</v>
      </c>
    </row>
    <row r="546" spans="1:4" x14ac:dyDescent="0.25">
      <c r="A546">
        <v>510</v>
      </c>
      <c r="B546" t="s">
        <v>197</v>
      </c>
      <c r="C546" t="s">
        <v>6</v>
      </c>
      <c r="D546">
        <v>316</v>
      </c>
    </row>
    <row r="547" spans="1:4" x14ac:dyDescent="0.25">
      <c r="A547">
        <v>511</v>
      </c>
      <c r="B547" t="s">
        <v>198</v>
      </c>
      <c r="C547" t="s">
        <v>5</v>
      </c>
      <c r="D547">
        <v>390</v>
      </c>
    </row>
    <row r="548" spans="1:4" x14ac:dyDescent="0.25">
      <c r="A548">
        <v>511</v>
      </c>
      <c r="B548" t="s">
        <v>198</v>
      </c>
      <c r="C548" t="s">
        <v>6</v>
      </c>
      <c r="D548">
        <v>350</v>
      </c>
    </row>
    <row r="549" spans="1:4" x14ac:dyDescent="0.25">
      <c r="A549">
        <v>512</v>
      </c>
      <c r="B549" t="s">
        <v>199</v>
      </c>
      <c r="C549" t="s">
        <v>5</v>
      </c>
      <c r="D549">
        <v>334</v>
      </c>
    </row>
    <row r="550" spans="1:4" x14ac:dyDescent="0.25">
      <c r="A550">
        <v>512</v>
      </c>
      <c r="B550" t="s">
        <v>199</v>
      </c>
      <c r="C550" t="s">
        <v>6</v>
      </c>
      <c r="D550">
        <v>281</v>
      </c>
    </row>
    <row r="551" spans="1:4" x14ac:dyDescent="0.25">
      <c r="A551">
        <v>513</v>
      </c>
      <c r="B551" t="s">
        <v>200</v>
      </c>
      <c r="C551" t="s">
        <v>5</v>
      </c>
      <c r="D551">
        <v>640</v>
      </c>
    </row>
    <row r="552" spans="1:4" x14ac:dyDescent="0.25">
      <c r="A552">
        <v>513</v>
      </c>
      <c r="B552" t="s">
        <v>200</v>
      </c>
      <c r="C552" t="s">
        <v>6</v>
      </c>
      <c r="D552">
        <v>724</v>
      </c>
    </row>
    <row r="553" spans="1:4" x14ac:dyDescent="0.25">
      <c r="A553">
        <v>514</v>
      </c>
      <c r="B553" t="s">
        <v>201</v>
      </c>
      <c r="C553" t="s">
        <v>23</v>
      </c>
      <c r="D553">
        <v>212</v>
      </c>
    </row>
    <row r="554" spans="1:4" x14ac:dyDescent="0.25">
      <c r="A554">
        <v>514</v>
      </c>
      <c r="B554" t="s">
        <v>201</v>
      </c>
      <c r="C554" t="s">
        <v>5</v>
      </c>
      <c r="D554">
        <v>267</v>
      </c>
    </row>
    <row r="555" spans="1:4" x14ac:dyDescent="0.25">
      <c r="A555">
        <v>514</v>
      </c>
      <c r="B555" t="s">
        <v>201</v>
      </c>
      <c r="C555" t="s">
        <v>6</v>
      </c>
      <c r="D555">
        <v>318</v>
      </c>
    </row>
    <row r="556" spans="1:4" x14ac:dyDescent="0.25">
      <c r="A556">
        <v>515</v>
      </c>
      <c r="B556" t="s">
        <v>202</v>
      </c>
      <c r="C556" t="s">
        <v>23</v>
      </c>
      <c r="D556">
        <v>214</v>
      </c>
    </row>
    <row r="557" spans="1:4" x14ac:dyDescent="0.25">
      <c r="A557">
        <v>515</v>
      </c>
      <c r="B557" t="s">
        <v>202</v>
      </c>
      <c r="C557" t="s">
        <v>5</v>
      </c>
      <c r="D557">
        <v>268</v>
      </c>
    </row>
    <row r="558" spans="1:4" x14ac:dyDescent="0.25">
      <c r="A558">
        <v>515</v>
      </c>
      <c r="B558" t="s">
        <v>202</v>
      </c>
      <c r="C558" t="s">
        <v>6</v>
      </c>
      <c r="D558">
        <v>320</v>
      </c>
    </row>
    <row r="559" spans="1:4" x14ac:dyDescent="0.25">
      <c r="A559">
        <v>516</v>
      </c>
      <c r="B559" t="s">
        <v>203</v>
      </c>
      <c r="C559" t="s">
        <v>23</v>
      </c>
      <c r="D559">
        <v>216</v>
      </c>
    </row>
    <row r="560" spans="1:4" x14ac:dyDescent="0.25">
      <c r="A560">
        <v>516</v>
      </c>
      <c r="B560" t="s">
        <v>203</v>
      </c>
      <c r="C560" t="s">
        <v>5</v>
      </c>
      <c r="D560">
        <v>270</v>
      </c>
    </row>
    <row r="561" spans="1:4" x14ac:dyDescent="0.25">
      <c r="A561">
        <v>516</v>
      </c>
      <c r="B561" t="s">
        <v>203</v>
      </c>
      <c r="C561" t="s">
        <v>6</v>
      </c>
      <c r="D561">
        <v>321</v>
      </c>
    </row>
    <row r="562" spans="1:4" x14ac:dyDescent="0.25">
      <c r="A562">
        <v>517</v>
      </c>
      <c r="B562" t="s">
        <v>204</v>
      </c>
      <c r="C562" t="s">
        <v>23</v>
      </c>
      <c r="D562">
        <v>217</v>
      </c>
    </row>
    <row r="563" spans="1:4" x14ac:dyDescent="0.25">
      <c r="A563">
        <v>517</v>
      </c>
      <c r="B563" t="s">
        <v>204</v>
      </c>
      <c r="C563" t="s">
        <v>5</v>
      </c>
      <c r="D563">
        <v>272</v>
      </c>
    </row>
    <row r="564" spans="1:4" x14ac:dyDescent="0.25">
      <c r="A564">
        <v>517</v>
      </c>
      <c r="B564" t="s">
        <v>204</v>
      </c>
      <c r="C564" t="s">
        <v>6</v>
      </c>
      <c r="D564">
        <v>323</v>
      </c>
    </row>
    <row r="565" spans="1:4" x14ac:dyDescent="0.25">
      <c r="A565">
        <v>518</v>
      </c>
      <c r="B565" t="s">
        <v>205</v>
      </c>
      <c r="C565" t="s">
        <v>23</v>
      </c>
      <c r="D565">
        <v>219</v>
      </c>
    </row>
    <row r="566" spans="1:4" x14ac:dyDescent="0.25">
      <c r="A566">
        <v>518</v>
      </c>
      <c r="B566" t="s">
        <v>205</v>
      </c>
      <c r="C566" t="s">
        <v>5</v>
      </c>
      <c r="D566">
        <v>273</v>
      </c>
    </row>
    <row r="567" spans="1:4" x14ac:dyDescent="0.25">
      <c r="A567">
        <v>518</v>
      </c>
      <c r="B567" t="s">
        <v>205</v>
      </c>
      <c r="C567" t="s">
        <v>6</v>
      </c>
      <c r="D567">
        <v>324</v>
      </c>
    </row>
    <row r="568" spans="1:4" x14ac:dyDescent="0.25">
      <c r="A568">
        <v>519</v>
      </c>
      <c r="B568" t="s">
        <v>206</v>
      </c>
      <c r="C568" t="s">
        <v>23</v>
      </c>
      <c r="D568">
        <v>220</v>
      </c>
    </row>
    <row r="569" spans="1:4" x14ac:dyDescent="0.25">
      <c r="A569">
        <v>519</v>
      </c>
      <c r="B569" t="s">
        <v>206</v>
      </c>
      <c r="C569" t="s">
        <v>5</v>
      </c>
      <c r="D569">
        <v>275</v>
      </c>
    </row>
    <row r="570" spans="1:4" x14ac:dyDescent="0.25">
      <c r="A570">
        <v>519</v>
      </c>
      <c r="B570" t="s">
        <v>206</v>
      </c>
      <c r="C570" t="s">
        <v>6</v>
      </c>
      <c r="D570">
        <v>326</v>
      </c>
    </row>
    <row r="571" spans="1:4" x14ac:dyDescent="0.25">
      <c r="A571">
        <v>520</v>
      </c>
      <c r="B571" t="s">
        <v>207</v>
      </c>
      <c r="C571" t="s">
        <v>23</v>
      </c>
      <c r="D571">
        <v>222</v>
      </c>
    </row>
    <row r="572" spans="1:4" x14ac:dyDescent="0.25">
      <c r="A572">
        <v>520</v>
      </c>
      <c r="B572" t="s">
        <v>207</v>
      </c>
      <c r="C572" t="s">
        <v>5</v>
      </c>
      <c r="D572">
        <v>276</v>
      </c>
    </row>
    <row r="573" spans="1:4" x14ac:dyDescent="0.25">
      <c r="A573">
        <v>520</v>
      </c>
      <c r="B573" t="s">
        <v>207</v>
      </c>
      <c r="C573" t="s">
        <v>6</v>
      </c>
      <c r="D573">
        <v>328</v>
      </c>
    </row>
    <row r="574" spans="1:4" x14ac:dyDescent="0.25">
      <c r="A574">
        <v>521</v>
      </c>
      <c r="B574" t="s">
        <v>208</v>
      </c>
      <c r="C574" t="s">
        <v>23</v>
      </c>
      <c r="D574">
        <v>224</v>
      </c>
    </row>
    <row r="575" spans="1:4" x14ac:dyDescent="0.25">
      <c r="A575">
        <v>521</v>
      </c>
      <c r="B575" t="s">
        <v>208</v>
      </c>
      <c r="C575" t="s">
        <v>5</v>
      </c>
      <c r="D575">
        <v>278</v>
      </c>
    </row>
    <row r="576" spans="1:4" x14ac:dyDescent="0.25">
      <c r="A576">
        <v>521</v>
      </c>
      <c r="B576" t="s">
        <v>208</v>
      </c>
      <c r="C576" t="s">
        <v>6</v>
      </c>
      <c r="D576">
        <v>329</v>
      </c>
    </row>
    <row r="577" spans="1:4" x14ac:dyDescent="0.25">
      <c r="A577">
        <v>522</v>
      </c>
      <c r="B577" t="s">
        <v>209</v>
      </c>
      <c r="C577" t="s">
        <v>23</v>
      </c>
      <c r="D577">
        <v>225</v>
      </c>
    </row>
    <row r="578" spans="1:4" x14ac:dyDescent="0.25">
      <c r="A578">
        <v>522</v>
      </c>
      <c r="B578" t="s">
        <v>209</v>
      </c>
      <c r="C578" t="s">
        <v>5</v>
      </c>
      <c r="D578">
        <v>280</v>
      </c>
    </row>
    <row r="579" spans="1:4" x14ac:dyDescent="0.25">
      <c r="A579">
        <v>522</v>
      </c>
      <c r="B579" t="s">
        <v>209</v>
      </c>
      <c r="C579" t="s">
        <v>6</v>
      </c>
      <c r="D579">
        <v>331</v>
      </c>
    </row>
    <row r="580" spans="1:4" x14ac:dyDescent="0.25">
      <c r="A580">
        <v>523</v>
      </c>
      <c r="B580" t="s">
        <v>210</v>
      </c>
      <c r="C580" t="s">
        <v>23</v>
      </c>
      <c r="D580">
        <v>139</v>
      </c>
    </row>
    <row r="581" spans="1:4" x14ac:dyDescent="0.25">
      <c r="A581">
        <v>523</v>
      </c>
      <c r="B581" t="s">
        <v>210</v>
      </c>
      <c r="C581" t="s">
        <v>5</v>
      </c>
      <c r="D581">
        <v>164</v>
      </c>
    </row>
    <row r="582" spans="1:4" x14ac:dyDescent="0.25">
      <c r="A582">
        <v>523</v>
      </c>
      <c r="B582" t="s">
        <v>210</v>
      </c>
      <c r="C582" t="s">
        <v>6</v>
      </c>
      <c r="D582">
        <v>209</v>
      </c>
    </row>
    <row r="583" spans="1:4" x14ac:dyDescent="0.25">
      <c r="A583">
        <v>524</v>
      </c>
      <c r="B583" t="s">
        <v>211</v>
      </c>
      <c r="C583" t="s">
        <v>23</v>
      </c>
      <c r="D583">
        <v>107</v>
      </c>
    </row>
    <row r="584" spans="1:4" x14ac:dyDescent="0.25">
      <c r="A584">
        <v>524</v>
      </c>
      <c r="B584" t="s">
        <v>211</v>
      </c>
      <c r="C584" t="s">
        <v>5</v>
      </c>
      <c r="D584">
        <v>124</v>
      </c>
    </row>
    <row r="585" spans="1:4" x14ac:dyDescent="0.25">
      <c r="A585">
        <v>524</v>
      </c>
      <c r="B585" t="s">
        <v>211</v>
      </c>
      <c r="C585" t="s">
        <v>6</v>
      </c>
      <c r="D585">
        <v>228</v>
      </c>
    </row>
    <row r="586" spans="1:4" x14ac:dyDescent="0.25">
      <c r="A586">
        <v>525</v>
      </c>
      <c r="B586" t="s">
        <v>212</v>
      </c>
      <c r="C586" t="s">
        <v>5</v>
      </c>
      <c r="D586">
        <v>644</v>
      </c>
    </row>
    <row r="587" spans="1:4" x14ac:dyDescent="0.25">
      <c r="A587">
        <v>525</v>
      </c>
      <c r="B587" t="s">
        <v>212</v>
      </c>
      <c r="C587" t="s">
        <v>6</v>
      </c>
      <c r="D587">
        <v>619</v>
      </c>
    </row>
    <row r="588" spans="1:4" x14ac:dyDescent="0.25">
      <c r="A588">
        <v>526</v>
      </c>
      <c r="B588" t="s">
        <v>213</v>
      </c>
      <c r="C588" t="s">
        <v>5</v>
      </c>
      <c r="D588">
        <v>587</v>
      </c>
    </row>
    <row r="589" spans="1:4" x14ac:dyDescent="0.25">
      <c r="A589">
        <v>526</v>
      </c>
      <c r="B589" t="s">
        <v>213</v>
      </c>
      <c r="C589" t="s">
        <v>6</v>
      </c>
      <c r="D589">
        <v>624</v>
      </c>
    </row>
    <row r="590" spans="1:4" x14ac:dyDescent="0.25">
      <c r="A590">
        <v>527</v>
      </c>
      <c r="B590" t="s">
        <v>214</v>
      </c>
      <c r="C590" t="s">
        <v>5</v>
      </c>
      <c r="D590">
        <v>888</v>
      </c>
    </row>
    <row r="591" spans="1:4" x14ac:dyDescent="0.25">
      <c r="A591">
        <v>527</v>
      </c>
      <c r="B591" t="s">
        <v>214</v>
      </c>
      <c r="C591" t="s">
        <v>6</v>
      </c>
      <c r="D591">
        <v>702</v>
      </c>
    </row>
    <row r="592" spans="1:4" x14ac:dyDescent="0.25">
      <c r="A592">
        <v>528</v>
      </c>
      <c r="B592" t="s">
        <v>215</v>
      </c>
      <c r="C592" t="s">
        <v>23</v>
      </c>
      <c r="D592">
        <v>729</v>
      </c>
    </row>
    <row r="593" spans="1:4" x14ac:dyDescent="0.25">
      <c r="A593">
        <v>528</v>
      </c>
      <c r="B593" t="s">
        <v>215</v>
      </c>
      <c r="C593" t="s">
        <v>5</v>
      </c>
      <c r="D593">
        <v>924</v>
      </c>
    </row>
    <row r="594" spans="1:4" x14ac:dyDescent="0.25">
      <c r="A594">
        <v>529</v>
      </c>
      <c r="B594" t="s">
        <v>216</v>
      </c>
      <c r="C594" t="s">
        <v>23</v>
      </c>
      <c r="D594">
        <v>371</v>
      </c>
    </row>
    <row r="595" spans="1:4" x14ac:dyDescent="0.25">
      <c r="A595">
        <v>529</v>
      </c>
      <c r="B595" t="s">
        <v>216</v>
      </c>
      <c r="C595" t="s">
        <v>5</v>
      </c>
      <c r="D595">
        <v>425</v>
      </c>
    </row>
    <row r="596" spans="1:4" x14ac:dyDescent="0.25">
      <c r="A596">
        <v>530</v>
      </c>
      <c r="B596" t="s">
        <v>217</v>
      </c>
      <c r="C596" t="s">
        <v>23</v>
      </c>
      <c r="D596">
        <v>444</v>
      </c>
    </row>
    <row r="597" spans="1:4" x14ac:dyDescent="0.25">
      <c r="A597">
        <v>530</v>
      </c>
      <c r="B597" t="s">
        <v>217</v>
      </c>
      <c r="C597" t="s">
        <v>5</v>
      </c>
      <c r="D597">
        <v>336</v>
      </c>
    </row>
    <row r="598" spans="1:4" x14ac:dyDescent="0.25">
      <c r="A598">
        <v>531</v>
      </c>
      <c r="B598" t="s">
        <v>218</v>
      </c>
      <c r="C598" t="s">
        <v>23</v>
      </c>
      <c r="D598">
        <v>374</v>
      </c>
    </row>
    <row r="599" spans="1:4" x14ac:dyDescent="0.25">
      <c r="A599">
        <v>531</v>
      </c>
      <c r="B599" t="s">
        <v>218</v>
      </c>
      <c r="C599" t="s">
        <v>5</v>
      </c>
      <c r="D599">
        <v>427</v>
      </c>
    </row>
    <row r="600" spans="1:4" x14ac:dyDescent="0.25">
      <c r="A600">
        <v>532</v>
      </c>
      <c r="B600" t="s">
        <v>219</v>
      </c>
      <c r="C600" t="s">
        <v>23</v>
      </c>
      <c r="D600">
        <v>542</v>
      </c>
    </row>
    <row r="601" spans="1:4" x14ac:dyDescent="0.25">
      <c r="A601">
        <v>532</v>
      </c>
      <c r="B601" t="s">
        <v>219</v>
      </c>
      <c r="C601" t="s">
        <v>5</v>
      </c>
      <c r="D601">
        <v>715</v>
      </c>
    </row>
    <row r="602" spans="1:4" x14ac:dyDescent="0.25">
      <c r="A602">
        <v>533</v>
      </c>
      <c r="B602" t="s">
        <v>220</v>
      </c>
      <c r="C602" t="s">
        <v>23</v>
      </c>
      <c r="D602">
        <v>388</v>
      </c>
    </row>
    <row r="603" spans="1:4" x14ac:dyDescent="0.25">
      <c r="A603">
        <v>533</v>
      </c>
      <c r="B603" t="s">
        <v>220</v>
      </c>
      <c r="C603" t="s">
        <v>5</v>
      </c>
      <c r="D603">
        <v>443</v>
      </c>
    </row>
    <row r="604" spans="1:4" x14ac:dyDescent="0.25">
      <c r="A604">
        <v>534</v>
      </c>
      <c r="B604" t="s">
        <v>221</v>
      </c>
      <c r="C604" t="s">
        <v>5</v>
      </c>
      <c r="D604">
        <v>379</v>
      </c>
    </row>
    <row r="605" spans="1:4" x14ac:dyDescent="0.25">
      <c r="A605">
        <v>534</v>
      </c>
      <c r="B605" t="s">
        <v>221</v>
      </c>
      <c r="C605" t="s">
        <v>6</v>
      </c>
      <c r="D605">
        <v>278</v>
      </c>
    </row>
    <row r="606" spans="1:4" x14ac:dyDescent="0.25">
      <c r="A606">
        <v>535</v>
      </c>
      <c r="B606" t="s">
        <v>222</v>
      </c>
      <c r="C606" t="s">
        <v>5</v>
      </c>
      <c r="D606">
        <v>427</v>
      </c>
    </row>
    <row r="607" spans="1:4" x14ac:dyDescent="0.25">
      <c r="A607">
        <v>535</v>
      </c>
      <c r="B607" t="s">
        <v>222</v>
      </c>
      <c r="C607" t="s">
        <v>6</v>
      </c>
      <c r="D607">
        <v>409</v>
      </c>
    </row>
    <row r="608" spans="1:4" x14ac:dyDescent="0.25">
      <c r="A608">
        <v>679</v>
      </c>
      <c r="B608" t="s">
        <v>223</v>
      </c>
      <c r="C608" t="s">
        <v>5</v>
      </c>
      <c r="D608">
        <v>136</v>
      </c>
    </row>
    <row r="609" spans="1:4" x14ac:dyDescent="0.25">
      <c r="A609">
        <v>679</v>
      </c>
      <c r="B609" t="s">
        <v>223</v>
      </c>
      <c r="C609" t="s">
        <v>6</v>
      </c>
      <c r="D609">
        <v>121</v>
      </c>
    </row>
    <row r="610" spans="1:4" x14ac:dyDescent="0.25">
      <c r="A610">
        <v>679</v>
      </c>
      <c r="B610" t="s">
        <v>223</v>
      </c>
      <c r="C610" t="s">
        <v>7</v>
      </c>
      <c r="D610">
        <v>164</v>
      </c>
    </row>
    <row r="611" spans="1:4" x14ac:dyDescent="0.25">
      <c r="A611">
        <v>707</v>
      </c>
      <c r="B611" t="s">
        <v>224</v>
      </c>
      <c r="C611" t="s">
        <v>225</v>
      </c>
      <c r="D611">
        <v>288</v>
      </c>
    </row>
    <row r="612" spans="1:4" x14ac:dyDescent="0.25">
      <c r="A612">
        <v>708</v>
      </c>
      <c r="B612" t="s">
        <v>226</v>
      </c>
      <c r="C612" t="s">
        <v>225</v>
      </c>
      <c r="D612">
        <v>324</v>
      </c>
    </row>
    <row r="613" spans="1:4" x14ac:dyDescent="0.25">
      <c r="A613">
        <v>709</v>
      </c>
      <c r="B613" t="s">
        <v>227</v>
      </c>
      <c r="C613" t="s">
        <v>225</v>
      </c>
      <c r="D613">
        <v>180</v>
      </c>
    </row>
    <row r="614" spans="1:4" x14ac:dyDescent="0.25">
      <c r="A614">
        <v>710</v>
      </c>
      <c r="B614" t="s">
        <v>228</v>
      </c>
      <c r="C614" t="s">
        <v>225</v>
      </c>
      <c r="D614">
        <v>216</v>
      </c>
    </row>
    <row r="615" spans="1:4" x14ac:dyDescent="0.25">
      <c r="A615">
        <v>711</v>
      </c>
      <c r="B615" t="s">
        <v>229</v>
      </c>
      <c r="C615" t="s">
        <v>225</v>
      </c>
      <c r="D615">
        <v>216</v>
      </c>
    </row>
    <row r="616" spans="1:4" x14ac:dyDescent="0.25">
      <c r="A616">
        <v>712</v>
      </c>
      <c r="B616" t="s">
        <v>230</v>
      </c>
      <c r="C616" t="s">
        <v>225</v>
      </c>
      <c r="D616">
        <v>288</v>
      </c>
    </row>
    <row r="617" spans="1:4" x14ac:dyDescent="0.25">
      <c r="A617">
        <v>713</v>
      </c>
      <c r="B617" t="s">
        <v>231</v>
      </c>
      <c r="C617" t="s">
        <v>225</v>
      </c>
      <c r="D617">
        <v>144</v>
      </c>
    </row>
    <row r="618" spans="1:4" x14ac:dyDescent="0.25">
      <c r="A618">
        <v>714</v>
      </c>
      <c r="B618" t="s">
        <v>232</v>
      </c>
      <c r="C618" t="s">
        <v>225</v>
      </c>
      <c r="D618">
        <v>180</v>
      </c>
    </row>
    <row r="619" spans="1:4" x14ac:dyDescent="0.25">
      <c r="A619">
        <v>715</v>
      </c>
      <c r="B619" t="s">
        <v>233</v>
      </c>
      <c r="C619" t="s">
        <v>225</v>
      </c>
      <c r="D619">
        <v>216</v>
      </c>
    </row>
    <row r="620" spans="1:4" x14ac:dyDescent="0.25">
      <c r="A620">
        <v>716</v>
      </c>
      <c r="B620" t="s">
        <v>234</v>
      </c>
      <c r="C620" t="s">
        <v>225</v>
      </c>
      <c r="D620">
        <v>252</v>
      </c>
    </row>
    <row r="621" spans="1:4" x14ac:dyDescent="0.25">
      <c r="A621">
        <v>747</v>
      </c>
      <c r="B621" t="s">
        <v>235</v>
      </c>
      <c r="C621" t="s">
        <v>236</v>
      </c>
      <c r="D621">
        <v>148</v>
      </c>
    </row>
    <row r="622" spans="1:4" x14ac:dyDescent="0.25">
      <c r="A622">
        <v>747</v>
      </c>
      <c r="B622" t="s">
        <v>235</v>
      </c>
      <c r="C622" t="s">
        <v>23</v>
      </c>
      <c r="D622">
        <v>137</v>
      </c>
    </row>
    <row r="623" spans="1:4" x14ac:dyDescent="0.25">
      <c r="A623">
        <v>747</v>
      </c>
      <c r="B623" t="s">
        <v>235</v>
      </c>
      <c r="C623" t="s">
        <v>12</v>
      </c>
      <c r="D623">
        <v>121</v>
      </c>
    </row>
    <row r="624" spans="1:4" x14ac:dyDescent="0.25">
      <c r="A624">
        <v>747</v>
      </c>
      <c r="B624" t="s">
        <v>235</v>
      </c>
      <c r="C624" t="s">
        <v>87</v>
      </c>
      <c r="D624">
        <v>161</v>
      </c>
    </row>
    <row r="625" spans="1:4" x14ac:dyDescent="0.25">
      <c r="A625">
        <v>747</v>
      </c>
      <c r="B625" t="s">
        <v>235</v>
      </c>
      <c r="C625" t="s">
        <v>183</v>
      </c>
      <c r="D625">
        <v>107</v>
      </c>
    </row>
    <row r="626" spans="1:4" x14ac:dyDescent="0.25">
      <c r="A626">
        <v>747</v>
      </c>
      <c r="B626" t="s">
        <v>235</v>
      </c>
      <c r="C626" t="s">
        <v>6</v>
      </c>
      <c r="D626">
        <v>160</v>
      </c>
    </row>
    <row r="627" spans="1:4" x14ac:dyDescent="0.25">
      <c r="A627">
        <v>748</v>
      </c>
      <c r="B627" t="s">
        <v>237</v>
      </c>
      <c r="C627" t="s">
        <v>236</v>
      </c>
      <c r="D627">
        <v>132</v>
      </c>
    </row>
    <row r="628" spans="1:4" x14ac:dyDescent="0.25">
      <c r="A628">
        <v>748</v>
      </c>
      <c r="B628" t="s">
        <v>237</v>
      </c>
      <c r="C628" t="s">
        <v>23</v>
      </c>
      <c r="D628">
        <v>121</v>
      </c>
    </row>
    <row r="629" spans="1:4" x14ac:dyDescent="0.25">
      <c r="A629">
        <v>748</v>
      </c>
      <c r="B629" t="s">
        <v>237</v>
      </c>
      <c r="C629" t="s">
        <v>12</v>
      </c>
      <c r="D629">
        <v>105</v>
      </c>
    </row>
    <row r="630" spans="1:4" x14ac:dyDescent="0.25">
      <c r="A630">
        <v>748</v>
      </c>
      <c r="B630" t="s">
        <v>237</v>
      </c>
      <c r="C630" t="s">
        <v>87</v>
      </c>
      <c r="D630">
        <v>145</v>
      </c>
    </row>
    <row r="631" spans="1:4" x14ac:dyDescent="0.25">
      <c r="A631">
        <v>748</v>
      </c>
      <c r="B631" t="s">
        <v>237</v>
      </c>
      <c r="C631" t="s">
        <v>238</v>
      </c>
      <c r="D631">
        <v>91</v>
      </c>
    </row>
    <row r="632" spans="1:4" x14ac:dyDescent="0.25">
      <c r="A632">
        <v>748</v>
      </c>
      <c r="B632" t="s">
        <v>237</v>
      </c>
      <c r="C632" t="s">
        <v>6</v>
      </c>
      <c r="D632">
        <v>144</v>
      </c>
    </row>
    <row r="633" spans="1:4" x14ac:dyDescent="0.25">
      <c r="A633">
        <v>749</v>
      </c>
      <c r="B633" t="s">
        <v>239</v>
      </c>
      <c r="C633" t="s">
        <v>23</v>
      </c>
      <c r="D633">
        <v>60</v>
      </c>
    </row>
    <row r="634" spans="1:4" x14ac:dyDescent="0.25">
      <c r="A634">
        <v>749</v>
      </c>
      <c r="B634" t="s">
        <v>239</v>
      </c>
      <c r="C634" t="s">
        <v>225</v>
      </c>
      <c r="D634">
        <v>73</v>
      </c>
    </row>
    <row r="635" spans="1:4" x14ac:dyDescent="0.25">
      <c r="A635">
        <v>750</v>
      </c>
      <c r="B635" t="s">
        <v>240</v>
      </c>
      <c r="C635" t="s">
        <v>23</v>
      </c>
      <c r="D635">
        <v>121</v>
      </c>
    </row>
    <row r="636" spans="1:4" x14ac:dyDescent="0.25">
      <c r="A636">
        <v>750</v>
      </c>
      <c r="B636" t="s">
        <v>240</v>
      </c>
      <c r="C636" t="s">
        <v>225</v>
      </c>
      <c r="D636">
        <v>102</v>
      </c>
    </row>
    <row r="637" spans="1:4" x14ac:dyDescent="0.25">
      <c r="A637">
        <v>751</v>
      </c>
      <c r="B637" t="s">
        <v>241</v>
      </c>
      <c r="C637" t="s">
        <v>23</v>
      </c>
      <c r="D637">
        <v>108</v>
      </c>
    </row>
    <row r="638" spans="1:4" x14ac:dyDescent="0.25">
      <c r="A638">
        <v>751</v>
      </c>
      <c r="B638" t="s">
        <v>241</v>
      </c>
      <c r="C638" t="s">
        <v>225</v>
      </c>
      <c r="D638">
        <v>32</v>
      </c>
    </row>
    <row r="639" spans="1:4" x14ac:dyDescent="0.25">
      <c r="A639">
        <v>752</v>
      </c>
      <c r="B639" t="s">
        <v>242</v>
      </c>
      <c r="C639" t="s">
        <v>23</v>
      </c>
      <c r="D639">
        <v>76</v>
      </c>
    </row>
    <row r="640" spans="1:4" x14ac:dyDescent="0.25">
      <c r="A640">
        <v>752</v>
      </c>
      <c r="B640" t="s">
        <v>242</v>
      </c>
      <c r="C640" t="s">
        <v>225</v>
      </c>
      <c r="D640">
        <v>52</v>
      </c>
    </row>
    <row r="641" spans="1:4" x14ac:dyDescent="0.25">
      <c r="A641">
        <v>753</v>
      </c>
      <c r="B641" t="s">
        <v>243</v>
      </c>
      <c r="C641" t="s">
        <v>23</v>
      </c>
      <c r="D641">
        <v>51</v>
      </c>
    </row>
    <row r="642" spans="1:4" x14ac:dyDescent="0.25">
      <c r="A642">
        <v>753</v>
      </c>
      <c r="B642" t="s">
        <v>243</v>
      </c>
      <c r="C642" t="s">
        <v>225</v>
      </c>
      <c r="D642">
        <v>112</v>
      </c>
    </row>
    <row r="643" spans="1:4" x14ac:dyDescent="0.25">
      <c r="A643">
        <v>754</v>
      </c>
      <c r="B643" t="s">
        <v>244</v>
      </c>
      <c r="C643" t="s">
        <v>23</v>
      </c>
      <c r="D643">
        <v>83</v>
      </c>
    </row>
    <row r="644" spans="1:4" x14ac:dyDescent="0.25">
      <c r="A644">
        <v>754</v>
      </c>
      <c r="B644" t="s">
        <v>244</v>
      </c>
      <c r="C644" t="s">
        <v>225</v>
      </c>
      <c r="D644">
        <v>65</v>
      </c>
    </row>
    <row r="645" spans="1:4" x14ac:dyDescent="0.25">
      <c r="A645">
        <v>755</v>
      </c>
      <c r="B645" t="s">
        <v>245</v>
      </c>
      <c r="C645" t="s">
        <v>23</v>
      </c>
      <c r="D645">
        <v>62</v>
      </c>
    </row>
    <row r="646" spans="1:4" x14ac:dyDescent="0.25">
      <c r="A646">
        <v>755</v>
      </c>
      <c r="B646" t="s">
        <v>245</v>
      </c>
      <c r="C646" t="s">
        <v>225</v>
      </c>
      <c r="D646">
        <v>75</v>
      </c>
    </row>
    <row r="647" spans="1:4" x14ac:dyDescent="0.25">
      <c r="A647">
        <v>756</v>
      </c>
      <c r="B647" t="s">
        <v>246</v>
      </c>
      <c r="C647" t="s">
        <v>23</v>
      </c>
      <c r="D647">
        <v>99</v>
      </c>
    </row>
    <row r="648" spans="1:4" x14ac:dyDescent="0.25">
      <c r="A648">
        <v>756</v>
      </c>
      <c r="B648" t="s">
        <v>246</v>
      </c>
      <c r="C648" t="s">
        <v>225</v>
      </c>
      <c r="D648">
        <v>30</v>
      </c>
    </row>
    <row r="649" spans="1:4" x14ac:dyDescent="0.25">
      <c r="A649">
        <v>757</v>
      </c>
      <c r="B649" t="s">
        <v>247</v>
      </c>
      <c r="C649" t="s">
        <v>23</v>
      </c>
      <c r="D649">
        <v>78</v>
      </c>
    </row>
    <row r="650" spans="1:4" x14ac:dyDescent="0.25">
      <c r="A650">
        <v>757</v>
      </c>
      <c r="B650" t="s">
        <v>247</v>
      </c>
      <c r="C650" t="s">
        <v>225</v>
      </c>
      <c r="D650">
        <v>56</v>
      </c>
    </row>
    <row r="651" spans="1:4" x14ac:dyDescent="0.25">
      <c r="A651">
        <v>758</v>
      </c>
      <c r="B651" t="s">
        <v>248</v>
      </c>
      <c r="C651" t="s">
        <v>23</v>
      </c>
      <c r="D651">
        <v>49</v>
      </c>
    </row>
    <row r="652" spans="1:4" x14ac:dyDescent="0.25">
      <c r="A652">
        <v>758</v>
      </c>
      <c r="B652" t="s">
        <v>248</v>
      </c>
      <c r="C652" t="s">
        <v>225</v>
      </c>
      <c r="D652">
        <v>116</v>
      </c>
    </row>
    <row r="653" spans="1:4" x14ac:dyDescent="0.25">
      <c r="A653">
        <v>759</v>
      </c>
      <c r="B653" t="s">
        <v>249</v>
      </c>
      <c r="C653" t="s">
        <v>23</v>
      </c>
      <c r="D653">
        <v>51</v>
      </c>
    </row>
    <row r="654" spans="1:4" x14ac:dyDescent="0.25">
      <c r="A654">
        <v>759</v>
      </c>
      <c r="B654" t="s">
        <v>249</v>
      </c>
      <c r="C654" t="s">
        <v>225</v>
      </c>
      <c r="D654">
        <v>112</v>
      </c>
    </row>
    <row r="655" spans="1:4" x14ac:dyDescent="0.25">
      <c r="A655">
        <v>760</v>
      </c>
      <c r="B655" t="s">
        <v>250</v>
      </c>
      <c r="C655" t="s">
        <v>23</v>
      </c>
      <c r="D655">
        <v>86</v>
      </c>
    </row>
    <row r="656" spans="1:4" x14ac:dyDescent="0.25">
      <c r="A656">
        <v>760</v>
      </c>
      <c r="B656" t="s">
        <v>250</v>
      </c>
      <c r="C656" t="s">
        <v>225</v>
      </c>
      <c r="D656">
        <v>99</v>
      </c>
    </row>
    <row r="657" spans="1:4" x14ac:dyDescent="0.25">
      <c r="A657">
        <v>761</v>
      </c>
      <c r="B657" t="s">
        <v>251</v>
      </c>
      <c r="C657" t="s">
        <v>23</v>
      </c>
      <c r="D657">
        <v>81</v>
      </c>
    </row>
    <row r="658" spans="1:4" x14ac:dyDescent="0.25">
      <c r="A658">
        <v>761</v>
      </c>
      <c r="B658" t="s">
        <v>251</v>
      </c>
      <c r="C658" t="s">
        <v>225</v>
      </c>
      <c r="D658">
        <v>67</v>
      </c>
    </row>
    <row r="659" spans="1:4" x14ac:dyDescent="0.25">
      <c r="A659">
        <v>762</v>
      </c>
      <c r="B659" t="s">
        <v>252</v>
      </c>
      <c r="C659" t="s">
        <v>23</v>
      </c>
      <c r="D659">
        <v>62</v>
      </c>
    </row>
    <row r="660" spans="1:4" x14ac:dyDescent="0.25">
      <c r="A660">
        <v>762</v>
      </c>
      <c r="B660" t="s">
        <v>252</v>
      </c>
      <c r="C660" t="s">
        <v>225</v>
      </c>
      <c r="D660">
        <v>75</v>
      </c>
    </row>
    <row r="661" spans="1:4" x14ac:dyDescent="0.25">
      <c r="A661">
        <v>763</v>
      </c>
      <c r="B661" t="s">
        <v>253</v>
      </c>
      <c r="C661" t="s">
        <v>23</v>
      </c>
      <c r="D661">
        <v>121</v>
      </c>
    </row>
    <row r="662" spans="1:4" x14ac:dyDescent="0.25">
      <c r="A662">
        <v>763</v>
      </c>
      <c r="B662" t="s">
        <v>253</v>
      </c>
      <c r="C662" t="s">
        <v>225</v>
      </c>
      <c r="D662">
        <v>102</v>
      </c>
    </row>
    <row r="663" spans="1:4" x14ac:dyDescent="0.25">
      <c r="A663">
        <v>764</v>
      </c>
      <c r="B663" t="s">
        <v>254</v>
      </c>
      <c r="C663" t="s">
        <v>23</v>
      </c>
      <c r="D663">
        <v>108</v>
      </c>
    </row>
    <row r="664" spans="1:4" x14ac:dyDescent="0.25">
      <c r="A664">
        <v>764</v>
      </c>
      <c r="B664" t="s">
        <v>254</v>
      </c>
      <c r="C664" t="s">
        <v>225</v>
      </c>
      <c r="D664">
        <v>32</v>
      </c>
    </row>
    <row r="665" spans="1:4" x14ac:dyDescent="0.25">
      <c r="A665">
        <v>765</v>
      </c>
      <c r="B665" t="s">
        <v>255</v>
      </c>
      <c r="C665" t="s">
        <v>23</v>
      </c>
      <c r="D665">
        <v>78</v>
      </c>
    </row>
    <row r="666" spans="1:4" x14ac:dyDescent="0.25">
      <c r="A666">
        <v>765</v>
      </c>
      <c r="B666" t="s">
        <v>255</v>
      </c>
      <c r="C666" t="s">
        <v>225</v>
      </c>
      <c r="D666">
        <v>56</v>
      </c>
    </row>
    <row r="667" spans="1:4" x14ac:dyDescent="0.25">
      <c r="A667">
        <v>766</v>
      </c>
      <c r="B667" t="s">
        <v>256</v>
      </c>
      <c r="C667" t="s">
        <v>23</v>
      </c>
      <c r="D667">
        <v>49</v>
      </c>
    </row>
    <row r="668" spans="1:4" x14ac:dyDescent="0.25">
      <c r="A668">
        <v>766</v>
      </c>
      <c r="B668" t="s">
        <v>256</v>
      </c>
      <c r="C668" t="s">
        <v>225</v>
      </c>
      <c r="D668">
        <v>116</v>
      </c>
    </row>
    <row r="669" spans="1:4" x14ac:dyDescent="0.25">
      <c r="A669">
        <v>767</v>
      </c>
      <c r="B669" t="s">
        <v>257</v>
      </c>
      <c r="C669" t="s">
        <v>23</v>
      </c>
      <c r="D669">
        <v>88</v>
      </c>
    </row>
    <row r="670" spans="1:4" x14ac:dyDescent="0.25">
      <c r="A670">
        <v>767</v>
      </c>
      <c r="B670" t="s">
        <v>257</v>
      </c>
      <c r="C670" t="s">
        <v>225</v>
      </c>
      <c r="D670">
        <v>100</v>
      </c>
    </row>
    <row r="671" spans="1:4" x14ac:dyDescent="0.25">
      <c r="A671">
        <v>768</v>
      </c>
      <c r="B671" t="s">
        <v>258</v>
      </c>
      <c r="C671" t="s">
        <v>23</v>
      </c>
      <c r="D671">
        <v>81</v>
      </c>
    </row>
    <row r="672" spans="1:4" x14ac:dyDescent="0.25">
      <c r="A672">
        <v>768</v>
      </c>
      <c r="B672" t="s">
        <v>258</v>
      </c>
      <c r="C672" t="s">
        <v>225</v>
      </c>
      <c r="D672">
        <v>67</v>
      </c>
    </row>
    <row r="673" spans="1:4" x14ac:dyDescent="0.25">
      <c r="A673">
        <v>769</v>
      </c>
      <c r="B673" t="s">
        <v>259</v>
      </c>
      <c r="C673" t="s">
        <v>23</v>
      </c>
      <c r="D673">
        <v>60</v>
      </c>
    </row>
    <row r="674" spans="1:4" x14ac:dyDescent="0.25">
      <c r="A674">
        <v>769</v>
      </c>
      <c r="B674" t="s">
        <v>259</v>
      </c>
      <c r="C674" t="s">
        <v>225</v>
      </c>
      <c r="D674">
        <v>73</v>
      </c>
    </row>
    <row r="675" spans="1:4" x14ac:dyDescent="0.25">
      <c r="A675">
        <v>770</v>
      </c>
      <c r="B675" t="s">
        <v>260</v>
      </c>
      <c r="C675" t="s">
        <v>23</v>
      </c>
      <c r="D675">
        <v>123</v>
      </c>
    </row>
    <row r="676" spans="1:4" x14ac:dyDescent="0.25">
      <c r="A676">
        <v>770</v>
      </c>
      <c r="B676" t="s">
        <v>260</v>
      </c>
      <c r="C676" t="s">
        <v>225</v>
      </c>
      <c r="D676">
        <v>104</v>
      </c>
    </row>
    <row r="677" spans="1:4" x14ac:dyDescent="0.25">
      <c r="A677">
        <v>771</v>
      </c>
      <c r="B677" t="s">
        <v>261</v>
      </c>
      <c r="C677" t="s">
        <v>23</v>
      </c>
      <c r="D677">
        <v>100</v>
      </c>
    </row>
    <row r="678" spans="1:4" x14ac:dyDescent="0.25">
      <c r="A678">
        <v>771</v>
      </c>
      <c r="B678" t="s">
        <v>261</v>
      </c>
      <c r="C678" t="s">
        <v>225</v>
      </c>
      <c r="D678">
        <v>49</v>
      </c>
    </row>
    <row r="679" spans="1:4" x14ac:dyDescent="0.25">
      <c r="A679">
        <v>772</v>
      </c>
      <c r="B679" t="s">
        <v>262</v>
      </c>
      <c r="C679" t="s">
        <v>23</v>
      </c>
      <c r="D679">
        <v>65</v>
      </c>
    </row>
    <row r="680" spans="1:4" x14ac:dyDescent="0.25">
      <c r="A680">
        <v>772</v>
      </c>
      <c r="B680" t="s">
        <v>262</v>
      </c>
      <c r="C680" t="s">
        <v>225</v>
      </c>
      <c r="D680">
        <v>88</v>
      </c>
    </row>
    <row r="681" spans="1:4" x14ac:dyDescent="0.25">
      <c r="A681">
        <v>773</v>
      </c>
      <c r="B681" t="s">
        <v>263</v>
      </c>
      <c r="C681" t="s">
        <v>23</v>
      </c>
      <c r="D681">
        <v>75</v>
      </c>
    </row>
    <row r="682" spans="1:4" x14ac:dyDescent="0.25">
      <c r="A682">
        <v>773</v>
      </c>
      <c r="B682" t="s">
        <v>263</v>
      </c>
      <c r="C682" t="s">
        <v>225</v>
      </c>
      <c r="D682">
        <v>83</v>
      </c>
    </row>
    <row r="683" spans="1:4" x14ac:dyDescent="0.25">
      <c r="A683">
        <v>774</v>
      </c>
      <c r="B683" t="s">
        <v>264</v>
      </c>
      <c r="C683" t="s">
        <v>23</v>
      </c>
      <c r="D683">
        <v>102</v>
      </c>
    </row>
    <row r="684" spans="1:4" x14ac:dyDescent="0.25">
      <c r="A684">
        <v>774</v>
      </c>
      <c r="B684" t="s">
        <v>264</v>
      </c>
      <c r="C684" t="s">
        <v>225</v>
      </c>
      <c r="D684">
        <v>62</v>
      </c>
    </row>
    <row r="685" spans="1:4" x14ac:dyDescent="0.25">
      <c r="A685">
        <v>775</v>
      </c>
      <c r="B685" t="s">
        <v>265</v>
      </c>
      <c r="C685" t="s">
        <v>23</v>
      </c>
      <c r="D685">
        <v>56</v>
      </c>
    </row>
    <row r="686" spans="1:4" x14ac:dyDescent="0.25">
      <c r="A686">
        <v>775</v>
      </c>
      <c r="B686" t="s">
        <v>265</v>
      </c>
      <c r="C686" t="s">
        <v>225</v>
      </c>
      <c r="D686">
        <v>99</v>
      </c>
    </row>
    <row r="687" spans="1:4" x14ac:dyDescent="0.25">
      <c r="A687">
        <v>776</v>
      </c>
      <c r="B687" t="s">
        <v>266</v>
      </c>
      <c r="C687" t="s">
        <v>23</v>
      </c>
      <c r="D687">
        <v>116</v>
      </c>
    </row>
    <row r="688" spans="1:4" x14ac:dyDescent="0.25">
      <c r="A688">
        <v>776</v>
      </c>
      <c r="B688" t="s">
        <v>266</v>
      </c>
      <c r="C688" t="s">
        <v>225</v>
      </c>
      <c r="D688">
        <v>78</v>
      </c>
    </row>
    <row r="689" spans="1:4" x14ac:dyDescent="0.25">
      <c r="A689">
        <v>777</v>
      </c>
      <c r="B689" t="s">
        <v>267</v>
      </c>
      <c r="C689" t="s">
        <v>23</v>
      </c>
      <c r="D689">
        <v>100</v>
      </c>
    </row>
    <row r="690" spans="1:4" x14ac:dyDescent="0.25">
      <c r="A690">
        <v>777</v>
      </c>
      <c r="B690" t="s">
        <v>267</v>
      </c>
      <c r="C690" t="s">
        <v>225</v>
      </c>
      <c r="D690">
        <v>49</v>
      </c>
    </row>
    <row r="691" spans="1:4" x14ac:dyDescent="0.25">
      <c r="A691">
        <v>778</v>
      </c>
      <c r="B691" t="s">
        <v>268</v>
      </c>
      <c r="C691" t="s">
        <v>23</v>
      </c>
      <c r="D691">
        <v>65</v>
      </c>
    </row>
    <row r="692" spans="1:4" x14ac:dyDescent="0.25">
      <c r="A692">
        <v>778</v>
      </c>
      <c r="B692" t="s">
        <v>268</v>
      </c>
      <c r="C692" t="s">
        <v>225</v>
      </c>
      <c r="D692">
        <v>88</v>
      </c>
    </row>
    <row r="693" spans="1:4" x14ac:dyDescent="0.25">
      <c r="A693">
        <v>779</v>
      </c>
      <c r="B693" t="s">
        <v>269</v>
      </c>
      <c r="C693" t="s">
        <v>23</v>
      </c>
      <c r="D693">
        <v>62</v>
      </c>
    </row>
    <row r="694" spans="1:4" x14ac:dyDescent="0.25">
      <c r="A694">
        <v>779</v>
      </c>
      <c r="B694" t="s">
        <v>269</v>
      </c>
      <c r="C694" t="s">
        <v>225</v>
      </c>
      <c r="D694">
        <v>75</v>
      </c>
    </row>
    <row r="695" spans="1:4" x14ac:dyDescent="0.25">
      <c r="A695">
        <v>780</v>
      </c>
      <c r="B695" t="s">
        <v>270</v>
      </c>
      <c r="C695" t="s">
        <v>23</v>
      </c>
      <c r="D695">
        <v>121</v>
      </c>
    </row>
    <row r="696" spans="1:4" x14ac:dyDescent="0.25">
      <c r="A696">
        <v>780</v>
      </c>
      <c r="B696" t="s">
        <v>270</v>
      </c>
      <c r="C696" t="s">
        <v>225</v>
      </c>
      <c r="D696">
        <v>102</v>
      </c>
    </row>
    <row r="697" spans="1:4" x14ac:dyDescent="0.25">
      <c r="A697">
        <v>781</v>
      </c>
      <c r="B697" t="s">
        <v>271</v>
      </c>
      <c r="C697" t="s">
        <v>23</v>
      </c>
      <c r="D697">
        <v>108</v>
      </c>
    </row>
    <row r="698" spans="1:4" x14ac:dyDescent="0.25">
      <c r="A698">
        <v>781</v>
      </c>
      <c r="B698" t="s">
        <v>271</v>
      </c>
      <c r="C698" t="s">
        <v>225</v>
      </c>
      <c r="D698">
        <v>32</v>
      </c>
    </row>
    <row r="699" spans="1:4" x14ac:dyDescent="0.25">
      <c r="A699">
        <v>782</v>
      </c>
      <c r="B699" t="s">
        <v>272</v>
      </c>
      <c r="C699" t="s">
        <v>23</v>
      </c>
      <c r="D699">
        <v>88</v>
      </c>
    </row>
    <row r="700" spans="1:4" x14ac:dyDescent="0.25">
      <c r="A700">
        <v>782</v>
      </c>
      <c r="B700" t="s">
        <v>272</v>
      </c>
      <c r="C700" t="s">
        <v>225</v>
      </c>
      <c r="D700">
        <v>100</v>
      </c>
    </row>
    <row r="701" spans="1:4" x14ac:dyDescent="0.25">
      <c r="A701">
        <v>783</v>
      </c>
      <c r="B701" t="s">
        <v>273</v>
      </c>
      <c r="C701" t="s">
        <v>23</v>
      </c>
      <c r="D701">
        <v>83</v>
      </c>
    </row>
    <row r="702" spans="1:4" x14ac:dyDescent="0.25">
      <c r="A702">
        <v>783</v>
      </c>
      <c r="B702" t="s">
        <v>273</v>
      </c>
      <c r="C702" t="s">
        <v>225</v>
      </c>
      <c r="D702">
        <v>65</v>
      </c>
    </row>
    <row r="703" spans="1:4" x14ac:dyDescent="0.25">
      <c r="A703">
        <v>784</v>
      </c>
      <c r="B703" t="s">
        <v>274</v>
      </c>
      <c r="C703" t="s">
        <v>23</v>
      </c>
      <c r="D703">
        <v>62</v>
      </c>
    </row>
    <row r="704" spans="1:4" x14ac:dyDescent="0.25">
      <c r="A704">
        <v>784</v>
      </c>
      <c r="B704" t="s">
        <v>274</v>
      </c>
      <c r="C704" t="s">
        <v>225</v>
      </c>
      <c r="D704">
        <v>75</v>
      </c>
    </row>
    <row r="705" spans="1:4" x14ac:dyDescent="0.25">
      <c r="A705">
        <v>785</v>
      </c>
      <c r="B705" t="s">
        <v>275</v>
      </c>
      <c r="C705" t="s">
        <v>23</v>
      </c>
      <c r="D705">
        <v>62</v>
      </c>
    </row>
    <row r="706" spans="1:4" x14ac:dyDescent="0.25">
      <c r="A706">
        <v>785</v>
      </c>
      <c r="B706" t="s">
        <v>275</v>
      </c>
      <c r="C706" t="s">
        <v>225</v>
      </c>
      <c r="D706">
        <v>75</v>
      </c>
    </row>
    <row r="707" spans="1:4" x14ac:dyDescent="0.25">
      <c r="A707">
        <v>786</v>
      </c>
      <c r="B707" t="s">
        <v>276</v>
      </c>
      <c r="C707" t="s">
        <v>23</v>
      </c>
      <c r="D707">
        <v>121</v>
      </c>
    </row>
    <row r="708" spans="1:4" x14ac:dyDescent="0.25">
      <c r="A708">
        <v>786</v>
      </c>
      <c r="B708" t="s">
        <v>276</v>
      </c>
      <c r="C708" t="s">
        <v>225</v>
      </c>
      <c r="D708">
        <v>102</v>
      </c>
    </row>
    <row r="709" spans="1:4" x14ac:dyDescent="0.25">
      <c r="A709">
        <v>787</v>
      </c>
      <c r="B709" t="s">
        <v>277</v>
      </c>
      <c r="C709" t="s">
        <v>23</v>
      </c>
      <c r="D709">
        <v>108</v>
      </c>
    </row>
    <row r="710" spans="1:4" x14ac:dyDescent="0.25">
      <c r="A710">
        <v>787</v>
      </c>
      <c r="B710" t="s">
        <v>277</v>
      </c>
      <c r="C710" t="s">
        <v>225</v>
      </c>
      <c r="D710">
        <v>32</v>
      </c>
    </row>
    <row r="711" spans="1:4" x14ac:dyDescent="0.25">
      <c r="A711">
        <v>788</v>
      </c>
      <c r="B711" t="s">
        <v>278</v>
      </c>
      <c r="C711" t="s">
        <v>23</v>
      </c>
      <c r="D711">
        <v>76</v>
      </c>
    </row>
    <row r="712" spans="1:4" x14ac:dyDescent="0.25">
      <c r="A712">
        <v>788</v>
      </c>
      <c r="B712" t="s">
        <v>278</v>
      </c>
      <c r="C712" t="s">
        <v>225</v>
      </c>
      <c r="D712">
        <v>52</v>
      </c>
    </row>
    <row r="713" spans="1:4" x14ac:dyDescent="0.25">
      <c r="A713">
        <v>789</v>
      </c>
      <c r="B713" t="s">
        <v>279</v>
      </c>
      <c r="C713" t="s">
        <v>23</v>
      </c>
      <c r="D713">
        <v>51</v>
      </c>
    </row>
    <row r="714" spans="1:4" x14ac:dyDescent="0.25">
      <c r="A714">
        <v>789</v>
      </c>
      <c r="B714" t="s">
        <v>279</v>
      </c>
      <c r="C714" t="s">
        <v>225</v>
      </c>
      <c r="D714">
        <v>112</v>
      </c>
    </row>
    <row r="715" spans="1:4" x14ac:dyDescent="0.25">
      <c r="A715">
        <v>790</v>
      </c>
      <c r="B715" t="s">
        <v>280</v>
      </c>
      <c r="C715" t="s">
        <v>23</v>
      </c>
      <c r="D715">
        <v>86</v>
      </c>
    </row>
    <row r="716" spans="1:4" x14ac:dyDescent="0.25">
      <c r="A716">
        <v>790</v>
      </c>
      <c r="B716" t="s">
        <v>280</v>
      </c>
      <c r="C716" t="s">
        <v>225</v>
      </c>
      <c r="D716">
        <v>99</v>
      </c>
    </row>
    <row r="717" spans="1:4" x14ac:dyDescent="0.25">
      <c r="A717">
        <v>791</v>
      </c>
      <c r="B717" t="s">
        <v>281</v>
      </c>
      <c r="C717" t="s">
        <v>23</v>
      </c>
      <c r="D717">
        <v>81</v>
      </c>
    </row>
    <row r="718" spans="1:4" x14ac:dyDescent="0.25">
      <c r="A718">
        <v>791</v>
      </c>
      <c r="B718" t="s">
        <v>281</v>
      </c>
      <c r="C718" t="s">
        <v>225</v>
      </c>
      <c r="D718">
        <v>67</v>
      </c>
    </row>
    <row r="719" spans="1:4" x14ac:dyDescent="0.25">
      <c r="A719">
        <v>792</v>
      </c>
      <c r="B719" t="s">
        <v>282</v>
      </c>
      <c r="C719" t="s">
        <v>23</v>
      </c>
      <c r="D719">
        <v>123</v>
      </c>
    </row>
    <row r="720" spans="1:4" x14ac:dyDescent="0.25">
      <c r="A720">
        <v>792</v>
      </c>
      <c r="B720" t="s">
        <v>282</v>
      </c>
      <c r="C720" t="s">
        <v>225</v>
      </c>
      <c r="D720">
        <v>104</v>
      </c>
    </row>
    <row r="721" spans="1:4" x14ac:dyDescent="0.25">
      <c r="A721">
        <v>793</v>
      </c>
      <c r="B721" t="s">
        <v>283</v>
      </c>
      <c r="C721" t="s">
        <v>23</v>
      </c>
      <c r="D721">
        <v>78</v>
      </c>
    </row>
    <row r="722" spans="1:4" x14ac:dyDescent="0.25">
      <c r="A722">
        <v>793</v>
      </c>
      <c r="B722" t="s">
        <v>283</v>
      </c>
      <c r="C722" t="s">
        <v>225</v>
      </c>
      <c r="D722">
        <v>56</v>
      </c>
    </row>
    <row r="723" spans="1:4" x14ac:dyDescent="0.25">
      <c r="A723">
        <v>794</v>
      </c>
      <c r="B723" t="s">
        <v>284</v>
      </c>
      <c r="C723" t="s">
        <v>23</v>
      </c>
      <c r="D723">
        <v>49</v>
      </c>
    </row>
    <row r="724" spans="1:4" x14ac:dyDescent="0.25">
      <c r="A724">
        <v>794</v>
      </c>
      <c r="B724" t="s">
        <v>284</v>
      </c>
      <c r="C724" t="s">
        <v>225</v>
      </c>
      <c r="D724">
        <v>116</v>
      </c>
    </row>
    <row r="725" spans="1:4" x14ac:dyDescent="0.25">
      <c r="A725">
        <v>795</v>
      </c>
      <c r="B725" t="s">
        <v>285</v>
      </c>
      <c r="C725" t="s">
        <v>23</v>
      </c>
      <c r="D725">
        <v>88</v>
      </c>
    </row>
    <row r="726" spans="1:4" x14ac:dyDescent="0.25">
      <c r="A726">
        <v>795</v>
      </c>
      <c r="B726" t="s">
        <v>285</v>
      </c>
      <c r="C726" t="s">
        <v>225</v>
      </c>
      <c r="D726">
        <v>100</v>
      </c>
    </row>
    <row r="727" spans="1:4" x14ac:dyDescent="0.25">
      <c r="A727">
        <v>796</v>
      </c>
      <c r="B727" t="s">
        <v>286</v>
      </c>
      <c r="C727" t="s">
        <v>23</v>
      </c>
      <c r="D727">
        <v>83</v>
      </c>
    </row>
    <row r="728" spans="1:4" x14ac:dyDescent="0.25">
      <c r="A728">
        <v>796</v>
      </c>
      <c r="B728" t="s">
        <v>286</v>
      </c>
      <c r="C728" t="s">
        <v>225</v>
      </c>
      <c r="D728">
        <v>65</v>
      </c>
    </row>
    <row r="729" spans="1:4" x14ac:dyDescent="0.25">
      <c r="A729">
        <v>797</v>
      </c>
      <c r="B729" t="s">
        <v>287</v>
      </c>
      <c r="C729" t="s">
        <v>23</v>
      </c>
      <c r="D729">
        <v>81</v>
      </c>
    </row>
    <row r="730" spans="1:4" x14ac:dyDescent="0.25">
      <c r="A730">
        <v>797</v>
      </c>
      <c r="B730" t="s">
        <v>287</v>
      </c>
      <c r="C730" t="s">
        <v>225</v>
      </c>
      <c r="D730">
        <v>67</v>
      </c>
    </row>
    <row r="731" spans="1:4" x14ac:dyDescent="0.25">
      <c r="A731">
        <v>798</v>
      </c>
      <c r="B731" t="s">
        <v>288</v>
      </c>
      <c r="C731" t="s">
        <v>23</v>
      </c>
      <c r="D731">
        <v>60</v>
      </c>
    </row>
    <row r="732" spans="1:4" x14ac:dyDescent="0.25">
      <c r="A732">
        <v>798</v>
      </c>
      <c r="B732" t="s">
        <v>288</v>
      </c>
      <c r="C732" t="s">
        <v>225</v>
      </c>
      <c r="D732">
        <v>73</v>
      </c>
    </row>
    <row r="733" spans="1:4" x14ac:dyDescent="0.25">
      <c r="A733">
        <v>799</v>
      </c>
      <c r="B733" t="s">
        <v>289</v>
      </c>
      <c r="C733" t="s">
        <v>23</v>
      </c>
      <c r="D733">
        <v>123</v>
      </c>
    </row>
    <row r="734" spans="1:4" x14ac:dyDescent="0.25">
      <c r="A734">
        <v>799</v>
      </c>
      <c r="B734" t="s">
        <v>289</v>
      </c>
      <c r="C734" t="s">
        <v>225</v>
      </c>
      <c r="D734">
        <v>104</v>
      </c>
    </row>
    <row r="735" spans="1:4" x14ac:dyDescent="0.25">
      <c r="A735">
        <v>800</v>
      </c>
      <c r="B735" t="s">
        <v>290</v>
      </c>
      <c r="C735" t="s">
        <v>23</v>
      </c>
      <c r="D735">
        <v>99</v>
      </c>
    </row>
    <row r="736" spans="1:4" x14ac:dyDescent="0.25">
      <c r="A736">
        <v>800</v>
      </c>
      <c r="B736" t="s">
        <v>290</v>
      </c>
      <c r="C736" t="s">
        <v>225</v>
      </c>
      <c r="D736">
        <v>30</v>
      </c>
    </row>
    <row r="737" spans="1:4" x14ac:dyDescent="0.25">
      <c r="A737">
        <v>801</v>
      </c>
      <c r="B737" t="s">
        <v>291</v>
      </c>
      <c r="C737" t="s">
        <v>23</v>
      </c>
      <c r="D737">
        <v>78</v>
      </c>
    </row>
    <row r="738" spans="1:4" x14ac:dyDescent="0.25">
      <c r="A738">
        <v>801</v>
      </c>
      <c r="B738" t="s">
        <v>291</v>
      </c>
      <c r="C738" t="s">
        <v>225</v>
      </c>
      <c r="D738">
        <v>56</v>
      </c>
    </row>
    <row r="739" spans="1:4" x14ac:dyDescent="0.25">
      <c r="A739">
        <v>802</v>
      </c>
      <c r="B739" t="s">
        <v>292</v>
      </c>
      <c r="C739" t="s">
        <v>12</v>
      </c>
      <c r="D739">
        <v>240</v>
      </c>
    </row>
    <row r="740" spans="1:4" x14ac:dyDescent="0.25">
      <c r="A740">
        <v>802</v>
      </c>
      <c r="B740" t="s">
        <v>292</v>
      </c>
      <c r="C740" t="s">
        <v>13</v>
      </c>
      <c r="D740">
        <v>350</v>
      </c>
    </row>
    <row r="741" spans="1:4" x14ac:dyDescent="0.25">
      <c r="A741">
        <v>802</v>
      </c>
      <c r="B741" t="s">
        <v>292</v>
      </c>
      <c r="C741" t="s">
        <v>6</v>
      </c>
      <c r="D741">
        <v>273</v>
      </c>
    </row>
    <row r="742" spans="1:4" x14ac:dyDescent="0.25">
      <c r="A742">
        <v>803</v>
      </c>
      <c r="B742" t="s">
        <v>293</v>
      </c>
      <c r="C742" t="s">
        <v>12</v>
      </c>
      <c r="D742">
        <v>246</v>
      </c>
    </row>
    <row r="743" spans="1:4" x14ac:dyDescent="0.25">
      <c r="A743">
        <v>803</v>
      </c>
      <c r="B743" t="s">
        <v>293</v>
      </c>
      <c r="C743" t="s">
        <v>13</v>
      </c>
      <c r="D743">
        <v>356</v>
      </c>
    </row>
    <row r="744" spans="1:4" x14ac:dyDescent="0.25">
      <c r="A744">
        <v>803</v>
      </c>
      <c r="B744" t="s">
        <v>293</v>
      </c>
      <c r="C744" t="s">
        <v>6</v>
      </c>
      <c r="D744">
        <v>280</v>
      </c>
    </row>
    <row r="745" spans="1:4" x14ac:dyDescent="0.25">
      <c r="A745">
        <v>804</v>
      </c>
      <c r="B745" t="s">
        <v>294</v>
      </c>
      <c r="C745" t="s">
        <v>12</v>
      </c>
      <c r="D745">
        <v>252</v>
      </c>
    </row>
    <row r="746" spans="1:4" x14ac:dyDescent="0.25">
      <c r="A746">
        <v>804</v>
      </c>
      <c r="B746" t="s">
        <v>294</v>
      </c>
      <c r="C746" t="s">
        <v>13</v>
      </c>
      <c r="D746">
        <v>363</v>
      </c>
    </row>
    <row r="747" spans="1:4" x14ac:dyDescent="0.25">
      <c r="A747">
        <v>804</v>
      </c>
      <c r="B747" t="s">
        <v>294</v>
      </c>
      <c r="C747" t="s">
        <v>6</v>
      </c>
      <c r="D747">
        <v>286</v>
      </c>
    </row>
    <row r="748" spans="1:4" x14ac:dyDescent="0.25">
      <c r="A748">
        <v>805</v>
      </c>
      <c r="B748" t="s">
        <v>295</v>
      </c>
      <c r="C748" t="s">
        <v>5</v>
      </c>
      <c r="D748">
        <v>265</v>
      </c>
    </row>
    <row r="749" spans="1:4" x14ac:dyDescent="0.25">
      <c r="A749">
        <v>805</v>
      </c>
      <c r="B749" t="s">
        <v>295</v>
      </c>
      <c r="C749" t="s">
        <v>6</v>
      </c>
      <c r="D749">
        <v>212</v>
      </c>
    </row>
    <row r="750" spans="1:4" x14ac:dyDescent="0.25">
      <c r="A750">
        <v>805</v>
      </c>
      <c r="B750" t="s">
        <v>295</v>
      </c>
      <c r="C750" t="s">
        <v>7</v>
      </c>
      <c r="D750">
        <v>284</v>
      </c>
    </row>
    <row r="751" spans="1:4" x14ac:dyDescent="0.25">
      <c r="A751">
        <v>806</v>
      </c>
      <c r="B751" t="s">
        <v>296</v>
      </c>
      <c r="C751" t="s">
        <v>5</v>
      </c>
      <c r="D751">
        <v>268</v>
      </c>
    </row>
    <row r="752" spans="1:4" x14ac:dyDescent="0.25">
      <c r="A752">
        <v>806</v>
      </c>
      <c r="B752" t="s">
        <v>296</v>
      </c>
      <c r="C752" t="s">
        <v>6</v>
      </c>
      <c r="D752">
        <v>216</v>
      </c>
    </row>
    <row r="753" spans="1:4" x14ac:dyDescent="0.25">
      <c r="A753">
        <v>806</v>
      </c>
      <c r="B753" t="s">
        <v>296</v>
      </c>
      <c r="C753" t="s">
        <v>7</v>
      </c>
      <c r="D753">
        <v>288</v>
      </c>
    </row>
    <row r="754" spans="1:4" x14ac:dyDescent="0.25">
      <c r="A754">
        <v>807</v>
      </c>
      <c r="B754" t="s">
        <v>297</v>
      </c>
      <c r="C754" t="s">
        <v>5</v>
      </c>
      <c r="D754">
        <v>272</v>
      </c>
    </row>
    <row r="755" spans="1:4" x14ac:dyDescent="0.25">
      <c r="A755">
        <v>807</v>
      </c>
      <c r="B755" t="s">
        <v>297</v>
      </c>
      <c r="C755" t="s">
        <v>6</v>
      </c>
      <c r="D755">
        <v>219</v>
      </c>
    </row>
    <row r="756" spans="1:4" x14ac:dyDescent="0.25">
      <c r="A756">
        <v>807</v>
      </c>
      <c r="B756" t="s">
        <v>297</v>
      </c>
      <c r="C756" t="s">
        <v>7</v>
      </c>
      <c r="D756">
        <v>291</v>
      </c>
    </row>
    <row r="757" spans="1:4" x14ac:dyDescent="0.25">
      <c r="A757">
        <v>808</v>
      </c>
      <c r="B757" t="s">
        <v>298</v>
      </c>
      <c r="C757" t="s">
        <v>12</v>
      </c>
      <c r="D757">
        <v>267</v>
      </c>
    </row>
    <row r="758" spans="1:4" x14ac:dyDescent="0.25">
      <c r="A758">
        <v>808</v>
      </c>
      <c r="B758" t="s">
        <v>298</v>
      </c>
      <c r="C758" t="s">
        <v>87</v>
      </c>
      <c r="D758">
        <v>276</v>
      </c>
    </row>
    <row r="759" spans="1:4" x14ac:dyDescent="0.25">
      <c r="A759">
        <v>808</v>
      </c>
      <c r="B759" t="s">
        <v>298</v>
      </c>
      <c r="C759" t="s">
        <v>6</v>
      </c>
      <c r="D759">
        <v>316</v>
      </c>
    </row>
    <row r="760" spans="1:4" x14ac:dyDescent="0.25">
      <c r="A760">
        <v>809</v>
      </c>
      <c r="B760" t="s">
        <v>299</v>
      </c>
      <c r="C760" t="s">
        <v>12</v>
      </c>
      <c r="D760">
        <v>264</v>
      </c>
    </row>
    <row r="761" spans="1:4" x14ac:dyDescent="0.25">
      <c r="A761">
        <v>809</v>
      </c>
      <c r="B761" t="s">
        <v>299</v>
      </c>
      <c r="C761" t="s">
        <v>87</v>
      </c>
      <c r="D761">
        <v>273</v>
      </c>
    </row>
    <row r="762" spans="1:4" x14ac:dyDescent="0.25">
      <c r="A762">
        <v>809</v>
      </c>
      <c r="B762" t="s">
        <v>299</v>
      </c>
      <c r="C762" t="s">
        <v>6</v>
      </c>
      <c r="D762">
        <v>313</v>
      </c>
    </row>
    <row r="763" spans="1:4" x14ac:dyDescent="0.25">
      <c r="A763">
        <v>810</v>
      </c>
      <c r="B763" t="s">
        <v>300</v>
      </c>
      <c r="C763" t="s">
        <v>12</v>
      </c>
      <c r="D763">
        <v>260</v>
      </c>
    </row>
    <row r="764" spans="1:4" x14ac:dyDescent="0.25">
      <c r="A764">
        <v>810</v>
      </c>
      <c r="B764" t="s">
        <v>300</v>
      </c>
      <c r="C764" t="s">
        <v>87</v>
      </c>
      <c r="D764">
        <v>270</v>
      </c>
    </row>
    <row r="765" spans="1:4" x14ac:dyDescent="0.25">
      <c r="A765">
        <v>810</v>
      </c>
      <c r="B765" t="s">
        <v>300</v>
      </c>
      <c r="C765" t="s">
        <v>6</v>
      </c>
      <c r="D765">
        <v>310</v>
      </c>
    </row>
    <row r="766" spans="1:4" x14ac:dyDescent="0.25">
      <c r="A766">
        <v>811</v>
      </c>
      <c r="B766" t="s">
        <v>301</v>
      </c>
      <c r="C766" t="s">
        <v>12</v>
      </c>
      <c r="D766">
        <v>257</v>
      </c>
    </row>
    <row r="767" spans="1:4" x14ac:dyDescent="0.25">
      <c r="A767">
        <v>811</v>
      </c>
      <c r="B767" t="s">
        <v>301</v>
      </c>
      <c r="C767" t="s">
        <v>87</v>
      </c>
      <c r="D767">
        <v>267</v>
      </c>
    </row>
    <row r="768" spans="1:4" x14ac:dyDescent="0.25">
      <c r="A768">
        <v>811</v>
      </c>
      <c r="B768" t="s">
        <v>301</v>
      </c>
      <c r="C768" t="s">
        <v>6</v>
      </c>
      <c r="D768">
        <v>307</v>
      </c>
    </row>
    <row r="769" spans="1:4" x14ac:dyDescent="0.25">
      <c r="A769">
        <v>812</v>
      </c>
      <c r="B769" t="s">
        <v>302</v>
      </c>
      <c r="C769" t="s">
        <v>12</v>
      </c>
      <c r="D769">
        <v>254</v>
      </c>
    </row>
    <row r="770" spans="1:4" x14ac:dyDescent="0.25">
      <c r="A770">
        <v>812</v>
      </c>
      <c r="B770" t="s">
        <v>302</v>
      </c>
      <c r="C770" t="s">
        <v>87</v>
      </c>
      <c r="D770">
        <v>264</v>
      </c>
    </row>
    <row r="771" spans="1:4" x14ac:dyDescent="0.25">
      <c r="A771">
        <v>812</v>
      </c>
      <c r="B771" t="s">
        <v>302</v>
      </c>
      <c r="C771" t="s">
        <v>6</v>
      </c>
      <c r="D771">
        <v>304</v>
      </c>
    </row>
    <row r="772" spans="1:4" x14ac:dyDescent="0.25">
      <c r="A772">
        <v>813</v>
      </c>
      <c r="B772" t="s">
        <v>303</v>
      </c>
      <c r="C772" t="s">
        <v>12</v>
      </c>
      <c r="D772">
        <v>251</v>
      </c>
    </row>
    <row r="773" spans="1:4" x14ac:dyDescent="0.25">
      <c r="A773">
        <v>813</v>
      </c>
      <c r="B773" t="s">
        <v>303</v>
      </c>
      <c r="C773" t="s">
        <v>87</v>
      </c>
      <c r="D773">
        <v>260</v>
      </c>
    </row>
    <row r="774" spans="1:4" x14ac:dyDescent="0.25">
      <c r="A774">
        <v>813</v>
      </c>
      <c r="B774" t="s">
        <v>303</v>
      </c>
      <c r="C774" t="s">
        <v>6</v>
      </c>
      <c r="D774">
        <v>300</v>
      </c>
    </row>
    <row r="775" spans="1:4" x14ac:dyDescent="0.25">
      <c r="A775">
        <v>814</v>
      </c>
      <c r="B775" t="s">
        <v>304</v>
      </c>
      <c r="C775" t="s">
        <v>236</v>
      </c>
      <c r="D775">
        <v>137</v>
      </c>
    </row>
    <row r="776" spans="1:4" x14ac:dyDescent="0.25">
      <c r="A776">
        <v>814</v>
      </c>
      <c r="B776" t="s">
        <v>304</v>
      </c>
      <c r="C776" t="s">
        <v>23</v>
      </c>
      <c r="D776">
        <v>126</v>
      </c>
    </row>
    <row r="777" spans="1:4" x14ac:dyDescent="0.25">
      <c r="A777">
        <v>814</v>
      </c>
      <c r="B777" t="s">
        <v>304</v>
      </c>
      <c r="C777" t="s">
        <v>12</v>
      </c>
      <c r="D777">
        <v>110</v>
      </c>
    </row>
    <row r="778" spans="1:4" x14ac:dyDescent="0.25">
      <c r="A778">
        <v>814</v>
      </c>
      <c r="B778" t="s">
        <v>304</v>
      </c>
      <c r="C778" t="s">
        <v>87</v>
      </c>
      <c r="D778">
        <v>150</v>
      </c>
    </row>
    <row r="779" spans="1:4" x14ac:dyDescent="0.25">
      <c r="A779">
        <v>814</v>
      </c>
      <c r="B779" t="s">
        <v>304</v>
      </c>
      <c r="C779" t="s">
        <v>183</v>
      </c>
      <c r="D779">
        <v>96</v>
      </c>
    </row>
    <row r="780" spans="1:4" x14ac:dyDescent="0.25">
      <c r="A780">
        <v>814</v>
      </c>
      <c r="B780" t="s">
        <v>304</v>
      </c>
      <c r="C780" t="s">
        <v>6</v>
      </c>
      <c r="D780">
        <v>148</v>
      </c>
    </row>
    <row r="781" spans="1:4" x14ac:dyDescent="0.25">
      <c r="A781">
        <v>815</v>
      </c>
      <c r="B781" t="s">
        <v>305</v>
      </c>
      <c r="C781" t="s">
        <v>13</v>
      </c>
      <c r="D781">
        <v>265</v>
      </c>
    </row>
    <row r="782" spans="1:4" x14ac:dyDescent="0.25">
      <c r="A782">
        <v>815</v>
      </c>
      <c r="B782" t="s">
        <v>305</v>
      </c>
      <c r="C782" t="s">
        <v>6</v>
      </c>
      <c r="D782">
        <v>457</v>
      </c>
    </row>
    <row r="783" spans="1:4" x14ac:dyDescent="0.25">
      <c r="A783">
        <v>816</v>
      </c>
      <c r="B783" t="s">
        <v>306</v>
      </c>
      <c r="C783" t="s">
        <v>13</v>
      </c>
      <c r="D783">
        <v>406</v>
      </c>
    </row>
    <row r="784" spans="1:4" x14ac:dyDescent="0.25">
      <c r="A784">
        <v>816</v>
      </c>
      <c r="B784" t="s">
        <v>306</v>
      </c>
      <c r="C784" t="s">
        <v>6</v>
      </c>
      <c r="D784">
        <v>412</v>
      </c>
    </row>
    <row r="785" spans="1:4" x14ac:dyDescent="0.25">
      <c r="A785">
        <v>817</v>
      </c>
      <c r="B785" t="s">
        <v>307</v>
      </c>
      <c r="C785" t="s">
        <v>13</v>
      </c>
      <c r="D785">
        <v>443</v>
      </c>
    </row>
    <row r="786" spans="1:4" x14ac:dyDescent="0.25">
      <c r="A786">
        <v>817</v>
      </c>
      <c r="B786" t="s">
        <v>307</v>
      </c>
      <c r="C786" t="s">
        <v>6</v>
      </c>
      <c r="D786">
        <v>388</v>
      </c>
    </row>
    <row r="787" spans="1:4" x14ac:dyDescent="0.25">
      <c r="A787">
        <v>818</v>
      </c>
      <c r="B787" t="s">
        <v>308</v>
      </c>
      <c r="C787" t="s">
        <v>13</v>
      </c>
      <c r="D787">
        <v>428</v>
      </c>
    </row>
    <row r="788" spans="1:4" x14ac:dyDescent="0.25">
      <c r="A788">
        <v>818</v>
      </c>
      <c r="B788" t="s">
        <v>308</v>
      </c>
      <c r="C788" t="s">
        <v>6</v>
      </c>
      <c r="D788">
        <v>460</v>
      </c>
    </row>
    <row r="789" spans="1:4" x14ac:dyDescent="0.25">
      <c r="A789">
        <v>819</v>
      </c>
      <c r="B789" t="s">
        <v>309</v>
      </c>
      <c r="C789" t="s">
        <v>13</v>
      </c>
      <c r="D789">
        <v>409</v>
      </c>
    </row>
    <row r="790" spans="1:4" x14ac:dyDescent="0.25">
      <c r="A790">
        <v>819</v>
      </c>
      <c r="B790" t="s">
        <v>309</v>
      </c>
      <c r="C790" t="s">
        <v>6</v>
      </c>
      <c r="D790">
        <v>384</v>
      </c>
    </row>
    <row r="791" spans="1:4" x14ac:dyDescent="0.25">
      <c r="A791">
        <v>820</v>
      </c>
      <c r="B791" t="s">
        <v>310</v>
      </c>
      <c r="C791" t="s">
        <v>13</v>
      </c>
      <c r="D791">
        <v>446</v>
      </c>
    </row>
    <row r="792" spans="1:4" x14ac:dyDescent="0.25">
      <c r="A792">
        <v>820</v>
      </c>
      <c r="B792" t="s">
        <v>310</v>
      </c>
      <c r="C792" t="s">
        <v>6</v>
      </c>
      <c r="D792">
        <v>232</v>
      </c>
    </row>
    <row r="793" spans="1:4" x14ac:dyDescent="0.25">
      <c r="A793">
        <v>821</v>
      </c>
      <c r="B793" t="s">
        <v>311</v>
      </c>
      <c r="C793" t="s">
        <v>13</v>
      </c>
      <c r="D793">
        <v>432</v>
      </c>
    </row>
    <row r="794" spans="1:4" x14ac:dyDescent="0.25">
      <c r="A794">
        <v>821</v>
      </c>
      <c r="B794" t="s">
        <v>311</v>
      </c>
      <c r="C794" t="s">
        <v>6</v>
      </c>
      <c r="D794">
        <v>304</v>
      </c>
    </row>
    <row r="795" spans="1:4" x14ac:dyDescent="0.25">
      <c r="A795">
        <v>822</v>
      </c>
      <c r="B795" t="s">
        <v>312</v>
      </c>
      <c r="C795" t="s">
        <v>236</v>
      </c>
      <c r="D795">
        <v>142</v>
      </c>
    </row>
    <row r="796" spans="1:4" x14ac:dyDescent="0.25">
      <c r="A796">
        <v>822</v>
      </c>
      <c r="B796" t="s">
        <v>312</v>
      </c>
      <c r="C796" t="s">
        <v>23</v>
      </c>
      <c r="D796">
        <v>131</v>
      </c>
    </row>
    <row r="797" spans="1:4" x14ac:dyDescent="0.25">
      <c r="A797">
        <v>822</v>
      </c>
      <c r="B797" t="s">
        <v>312</v>
      </c>
      <c r="C797" t="s">
        <v>12</v>
      </c>
      <c r="D797">
        <v>115</v>
      </c>
    </row>
    <row r="798" spans="1:4" x14ac:dyDescent="0.25">
      <c r="A798">
        <v>822</v>
      </c>
      <c r="B798" t="s">
        <v>312</v>
      </c>
      <c r="C798" t="s">
        <v>87</v>
      </c>
      <c r="D798">
        <v>155</v>
      </c>
    </row>
    <row r="799" spans="1:4" x14ac:dyDescent="0.25">
      <c r="A799">
        <v>822</v>
      </c>
      <c r="B799" t="s">
        <v>312</v>
      </c>
      <c r="C799" t="s">
        <v>183</v>
      </c>
      <c r="D799">
        <v>100</v>
      </c>
    </row>
    <row r="800" spans="1:4" x14ac:dyDescent="0.25">
      <c r="A800">
        <v>822</v>
      </c>
      <c r="B800" t="s">
        <v>312</v>
      </c>
      <c r="C800" t="s">
        <v>6</v>
      </c>
      <c r="D800">
        <v>153</v>
      </c>
    </row>
    <row r="801" spans="1:4" x14ac:dyDescent="0.25">
      <c r="A801">
        <v>823</v>
      </c>
      <c r="B801" t="s">
        <v>313</v>
      </c>
      <c r="C801" t="s">
        <v>5</v>
      </c>
      <c r="D801">
        <v>425</v>
      </c>
    </row>
    <row r="802" spans="1:4" x14ac:dyDescent="0.25">
      <c r="A802">
        <v>823</v>
      </c>
      <c r="B802" t="s">
        <v>313</v>
      </c>
      <c r="C802" t="s">
        <v>6</v>
      </c>
      <c r="D802">
        <v>256</v>
      </c>
    </row>
    <row r="803" spans="1:4" x14ac:dyDescent="0.25">
      <c r="A803">
        <v>824</v>
      </c>
      <c r="B803" t="s">
        <v>314</v>
      </c>
      <c r="C803" t="s">
        <v>5</v>
      </c>
      <c r="D803">
        <v>411</v>
      </c>
    </row>
    <row r="804" spans="1:4" x14ac:dyDescent="0.25">
      <c r="A804">
        <v>824</v>
      </c>
      <c r="B804" t="s">
        <v>314</v>
      </c>
      <c r="C804" t="s">
        <v>6</v>
      </c>
      <c r="D804">
        <v>401</v>
      </c>
    </row>
    <row r="805" spans="1:4" x14ac:dyDescent="0.25">
      <c r="A805">
        <v>825</v>
      </c>
      <c r="B805" t="s">
        <v>315</v>
      </c>
      <c r="C805" t="s">
        <v>5</v>
      </c>
      <c r="D805">
        <v>396</v>
      </c>
    </row>
    <row r="806" spans="1:4" x14ac:dyDescent="0.25">
      <c r="A806">
        <v>825</v>
      </c>
      <c r="B806" t="s">
        <v>315</v>
      </c>
      <c r="C806" t="s">
        <v>6</v>
      </c>
      <c r="D806">
        <v>387</v>
      </c>
    </row>
    <row r="807" spans="1:4" x14ac:dyDescent="0.25">
      <c r="A807">
        <v>826</v>
      </c>
      <c r="B807" t="s">
        <v>316</v>
      </c>
      <c r="C807" t="s">
        <v>5</v>
      </c>
      <c r="D807">
        <v>393</v>
      </c>
    </row>
    <row r="808" spans="1:4" x14ac:dyDescent="0.25">
      <c r="A808">
        <v>826</v>
      </c>
      <c r="B808" t="s">
        <v>316</v>
      </c>
      <c r="C808" t="s">
        <v>6</v>
      </c>
      <c r="D808">
        <v>406</v>
      </c>
    </row>
    <row r="809" spans="1:4" x14ac:dyDescent="0.25">
      <c r="A809">
        <v>827</v>
      </c>
      <c r="B809" t="s">
        <v>317</v>
      </c>
      <c r="C809" t="s">
        <v>5</v>
      </c>
      <c r="D809">
        <v>412</v>
      </c>
    </row>
    <row r="810" spans="1:4" x14ac:dyDescent="0.25">
      <c r="A810">
        <v>827</v>
      </c>
      <c r="B810" t="s">
        <v>317</v>
      </c>
      <c r="C810" t="s">
        <v>6</v>
      </c>
      <c r="D810">
        <v>425</v>
      </c>
    </row>
    <row r="811" spans="1:4" x14ac:dyDescent="0.25">
      <c r="A811">
        <v>828</v>
      </c>
      <c r="B811" t="s">
        <v>318</v>
      </c>
      <c r="C811" t="s">
        <v>5</v>
      </c>
      <c r="D811">
        <v>432</v>
      </c>
    </row>
    <row r="812" spans="1:4" x14ac:dyDescent="0.25">
      <c r="A812">
        <v>828</v>
      </c>
      <c r="B812" t="s">
        <v>318</v>
      </c>
      <c r="C812" t="s">
        <v>6</v>
      </c>
      <c r="D812">
        <v>284</v>
      </c>
    </row>
    <row r="813" spans="1:4" x14ac:dyDescent="0.25">
      <c r="A813">
        <v>829</v>
      </c>
      <c r="B813" t="s">
        <v>319</v>
      </c>
      <c r="C813" t="s">
        <v>5</v>
      </c>
      <c r="D813">
        <v>265</v>
      </c>
    </row>
    <row r="814" spans="1:4" x14ac:dyDescent="0.25">
      <c r="A814">
        <v>829</v>
      </c>
      <c r="B814" t="s">
        <v>319</v>
      </c>
      <c r="C814" t="s">
        <v>6</v>
      </c>
      <c r="D814">
        <v>476</v>
      </c>
    </row>
    <row r="815" spans="1:4" x14ac:dyDescent="0.25">
      <c r="A815">
        <v>841</v>
      </c>
      <c r="B815" t="s">
        <v>320</v>
      </c>
      <c r="C815" t="s">
        <v>225</v>
      </c>
      <c r="D815">
        <v>288</v>
      </c>
    </row>
    <row r="816" spans="1:4" x14ac:dyDescent="0.25">
      <c r="A816">
        <v>842</v>
      </c>
      <c r="B816" t="s">
        <v>321</v>
      </c>
      <c r="C816" t="s">
        <v>225</v>
      </c>
      <c r="D816">
        <v>72</v>
      </c>
    </row>
    <row r="817" spans="1:4" x14ac:dyDescent="0.25">
      <c r="A817">
        <v>843</v>
      </c>
      <c r="B817" t="s">
        <v>322</v>
      </c>
      <c r="C817" t="s">
        <v>225</v>
      </c>
      <c r="D817">
        <v>252</v>
      </c>
    </row>
    <row r="818" spans="1:4" x14ac:dyDescent="0.25">
      <c r="A818">
        <v>844</v>
      </c>
      <c r="B818" t="s">
        <v>323</v>
      </c>
      <c r="C818" t="s">
        <v>225</v>
      </c>
      <c r="D818">
        <v>288</v>
      </c>
    </row>
    <row r="819" spans="1:4" x14ac:dyDescent="0.25">
      <c r="A819">
        <v>845</v>
      </c>
      <c r="B819" t="s">
        <v>324</v>
      </c>
      <c r="C819" t="s">
        <v>225</v>
      </c>
      <c r="D819">
        <v>324</v>
      </c>
    </row>
    <row r="820" spans="1:4" x14ac:dyDescent="0.25">
      <c r="A820">
        <v>846</v>
      </c>
      <c r="B820" t="s">
        <v>325</v>
      </c>
      <c r="C820" t="s">
        <v>225</v>
      </c>
      <c r="D820">
        <v>144</v>
      </c>
    </row>
    <row r="821" spans="1:4" x14ac:dyDescent="0.25">
      <c r="A821">
        <v>847</v>
      </c>
      <c r="B821" t="s">
        <v>326</v>
      </c>
      <c r="C821" t="s">
        <v>225</v>
      </c>
      <c r="D821">
        <v>180</v>
      </c>
    </row>
    <row r="822" spans="1:4" x14ac:dyDescent="0.25">
      <c r="A822">
        <v>848</v>
      </c>
      <c r="B822" t="s">
        <v>327</v>
      </c>
      <c r="C822" t="s">
        <v>225</v>
      </c>
      <c r="D822">
        <v>216</v>
      </c>
    </row>
    <row r="823" spans="1:4" x14ac:dyDescent="0.25">
      <c r="A823">
        <v>849</v>
      </c>
      <c r="B823" t="s">
        <v>328</v>
      </c>
      <c r="C823" t="s">
        <v>225</v>
      </c>
      <c r="D823">
        <v>108</v>
      </c>
    </row>
    <row r="824" spans="1:4" x14ac:dyDescent="0.25">
      <c r="A824">
        <v>850</v>
      </c>
      <c r="B824" t="s">
        <v>329</v>
      </c>
      <c r="C824" t="s">
        <v>225</v>
      </c>
      <c r="D824">
        <v>144</v>
      </c>
    </row>
    <row r="825" spans="1:4" x14ac:dyDescent="0.25">
      <c r="A825">
        <v>851</v>
      </c>
      <c r="B825" t="s">
        <v>330</v>
      </c>
      <c r="C825" t="s">
        <v>225</v>
      </c>
      <c r="D825">
        <v>180</v>
      </c>
    </row>
    <row r="826" spans="1:4" x14ac:dyDescent="0.25">
      <c r="A826">
        <v>852</v>
      </c>
      <c r="B826" t="s">
        <v>331</v>
      </c>
      <c r="C826" t="s">
        <v>225</v>
      </c>
      <c r="D826">
        <v>324</v>
      </c>
    </row>
    <row r="827" spans="1:4" x14ac:dyDescent="0.25">
      <c r="A827">
        <v>853</v>
      </c>
      <c r="B827" t="s">
        <v>332</v>
      </c>
      <c r="C827" t="s">
        <v>225</v>
      </c>
      <c r="D827">
        <v>0</v>
      </c>
    </row>
    <row r="828" spans="1:4" x14ac:dyDescent="0.25">
      <c r="A828">
        <v>854</v>
      </c>
      <c r="B828" t="s">
        <v>333</v>
      </c>
      <c r="C828" t="s">
        <v>225</v>
      </c>
      <c r="D828">
        <v>36</v>
      </c>
    </row>
    <row r="829" spans="1:4" x14ac:dyDescent="0.25">
      <c r="A829">
        <v>855</v>
      </c>
      <c r="B829" t="s">
        <v>334</v>
      </c>
      <c r="C829" t="s">
        <v>225</v>
      </c>
      <c r="D829">
        <v>72</v>
      </c>
    </row>
    <row r="830" spans="1:4" x14ac:dyDescent="0.25">
      <c r="A830">
        <v>856</v>
      </c>
      <c r="B830" t="s">
        <v>335</v>
      </c>
      <c r="C830" t="s">
        <v>225</v>
      </c>
      <c r="D830">
        <v>108</v>
      </c>
    </row>
    <row r="831" spans="1:4" x14ac:dyDescent="0.25">
      <c r="A831">
        <v>857</v>
      </c>
      <c r="B831" t="s">
        <v>336</v>
      </c>
      <c r="C831" t="s">
        <v>225</v>
      </c>
      <c r="D831">
        <v>144</v>
      </c>
    </row>
    <row r="832" spans="1:4" x14ac:dyDescent="0.25">
      <c r="A832">
        <v>858</v>
      </c>
      <c r="B832" t="s">
        <v>337</v>
      </c>
      <c r="C832" t="s">
        <v>225</v>
      </c>
      <c r="D832">
        <v>324</v>
      </c>
    </row>
    <row r="833" spans="1:4" x14ac:dyDescent="0.25">
      <c r="A833">
        <v>859</v>
      </c>
      <c r="B833" t="s">
        <v>338</v>
      </c>
      <c r="C833" t="s">
        <v>225</v>
      </c>
      <c r="D833">
        <v>0</v>
      </c>
    </row>
    <row r="834" spans="1:4" x14ac:dyDescent="0.25">
      <c r="A834">
        <v>860</v>
      </c>
      <c r="B834" t="s">
        <v>339</v>
      </c>
      <c r="C834" t="s">
        <v>225</v>
      </c>
      <c r="D834">
        <v>36</v>
      </c>
    </row>
    <row r="835" spans="1:4" x14ac:dyDescent="0.25">
      <c r="A835">
        <v>861</v>
      </c>
      <c r="B835" t="s">
        <v>340</v>
      </c>
      <c r="C835" t="s">
        <v>225</v>
      </c>
      <c r="D835">
        <v>72</v>
      </c>
    </row>
    <row r="836" spans="1:4" x14ac:dyDescent="0.25">
      <c r="A836">
        <v>862</v>
      </c>
      <c r="B836" t="s">
        <v>341</v>
      </c>
      <c r="C836" t="s">
        <v>225</v>
      </c>
      <c r="D836">
        <v>108</v>
      </c>
    </row>
    <row r="837" spans="1:4" x14ac:dyDescent="0.25">
      <c r="A837">
        <v>863</v>
      </c>
      <c r="B837" t="s">
        <v>342</v>
      </c>
      <c r="C837" t="s">
        <v>225</v>
      </c>
      <c r="D837">
        <v>144</v>
      </c>
    </row>
    <row r="838" spans="1:4" x14ac:dyDescent="0.25">
      <c r="A838">
        <v>864</v>
      </c>
      <c r="B838" t="s">
        <v>343</v>
      </c>
      <c r="C838" t="s">
        <v>225</v>
      </c>
      <c r="D838">
        <v>180</v>
      </c>
    </row>
    <row r="839" spans="1:4" x14ac:dyDescent="0.25">
      <c r="A839">
        <v>865</v>
      </c>
      <c r="B839" t="s">
        <v>344</v>
      </c>
      <c r="C839" t="s">
        <v>225</v>
      </c>
      <c r="D839">
        <v>216</v>
      </c>
    </row>
    <row r="840" spans="1:4" x14ac:dyDescent="0.25">
      <c r="A840">
        <v>866</v>
      </c>
      <c r="B840" t="s">
        <v>345</v>
      </c>
      <c r="C840" t="s">
        <v>225</v>
      </c>
      <c r="D840">
        <v>252</v>
      </c>
    </row>
    <row r="841" spans="1:4" x14ac:dyDescent="0.25">
      <c r="A841">
        <v>867</v>
      </c>
      <c r="B841" t="s">
        <v>346</v>
      </c>
      <c r="C841" t="s">
        <v>225</v>
      </c>
      <c r="D841">
        <v>216</v>
      </c>
    </row>
    <row r="842" spans="1:4" x14ac:dyDescent="0.25">
      <c r="A842">
        <v>868</v>
      </c>
      <c r="B842" t="s">
        <v>347</v>
      </c>
      <c r="C842" t="s">
        <v>225</v>
      </c>
      <c r="D842">
        <v>252</v>
      </c>
    </row>
    <row r="843" spans="1:4" x14ac:dyDescent="0.25">
      <c r="A843">
        <v>869</v>
      </c>
      <c r="B843" t="s">
        <v>348</v>
      </c>
      <c r="C843" t="s">
        <v>225</v>
      </c>
      <c r="D843">
        <v>288</v>
      </c>
    </row>
    <row r="844" spans="1:4" x14ac:dyDescent="0.25">
      <c r="A844">
        <v>870</v>
      </c>
      <c r="B844" t="s">
        <v>349</v>
      </c>
      <c r="C844" t="s">
        <v>225</v>
      </c>
      <c r="D844">
        <v>252</v>
      </c>
    </row>
    <row r="845" spans="1:4" x14ac:dyDescent="0.25">
      <c r="A845">
        <v>871</v>
      </c>
      <c r="B845" t="s">
        <v>350</v>
      </c>
      <c r="C845" t="s">
        <v>225</v>
      </c>
      <c r="D845">
        <v>288</v>
      </c>
    </row>
    <row r="846" spans="1:4" x14ac:dyDescent="0.25">
      <c r="A846">
        <v>872</v>
      </c>
      <c r="B846" t="s">
        <v>351</v>
      </c>
      <c r="C846" t="s">
        <v>225</v>
      </c>
      <c r="D846">
        <v>324</v>
      </c>
    </row>
    <row r="847" spans="1:4" x14ac:dyDescent="0.25">
      <c r="A847">
        <v>873</v>
      </c>
      <c r="B847" t="s">
        <v>352</v>
      </c>
      <c r="C847" t="s">
        <v>225</v>
      </c>
      <c r="D847">
        <v>180</v>
      </c>
    </row>
    <row r="848" spans="1:4" x14ac:dyDescent="0.25">
      <c r="A848">
        <v>874</v>
      </c>
      <c r="B848" t="s">
        <v>353</v>
      </c>
      <c r="C848" t="s">
        <v>225</v>
      </c>
      <c r="D848">
        <v>252</v>
      </c>
    </row>
    <row r="849" spans="1:4" x14ac:dyDescent="0.25">
      <c r="A849">
        <v>875</v>
      </c>
      <c r="B849" t="s">
        <v>354</v>
      </c>
      <c r="C849" t="s">
        <v>225</v>
      </c>
      <c r="D849">
        <v>288</v>
      </c>
    </row>
    <row r="850" spans="1:4" x14ac:dyDescent="0.25">
      <c r="A850">
        <v>876</v>
      </c>
      <c r="B850" t="s">
        <v>355</v>
      </c>
      <c r="C850" t="s">
        <v>225</v>
      </c>
      <c r="D850">
        <v>0</v>
      </c>
    </row>
    <row r="851" spans="1:4" x14ac:dyDescent="0.25">
      <c r="A851">
        <v>877</v>
      </c>
      <c r="B851" t="s">
        <v>356</v>
      </c>
      <c r="C851" t="s">
        <v>225</v>
      </c>
      <c r="D851">
        <v>36</v>
      </c>
    </row>
    <row r="852" spans="1:4" x14ac:dyDescent="0.25">
      <c r="A852">
        <v>878</v>
      </c>
      <c r="B852" t="s">
        <v>357</v>
      </c>
      <c r="C852" t="s">
        <v>225</v>
      </c>
      <c r="D852">
        <v>108</v>
      </c>
    </row>
    <row r="853" spans="1:4" x14ac:dyDescent="0.25">
      <c r="A853">
        <v>879</v>
      </c>
      <c r="B853" t="s">
        <v>358</v>
      </c>
      <c r="C853" t="s">
        <v>225</v>
      </c>
      <c r="D853">
        <v>144</v>
      </c>
    </row>
    <row r="854" spans="1:4" x14ac:dyDescent="0.25">
      <c r="A854">
        <v>880</v>
      </c>
      <c r="B854" t="s">
        <v>359</v>
      </c>
      <c r="C854" t="s">
        <v>225</v>
      </c>
      <c r="D854">
        <v>108</v>
      </c>
    </row>
    <row r="855" spans="1:4" x14ac:dyDescent="0.25">
      <c r="A855">
        <v>881</v>
      </c>
      <c r="B855" t="s">
        <v>360</v>
      </c>
      <c r="C855" t="s">
        <v>225</v>
      </c>
      <c r="D855">
        <v>324</v>
      </c>
    </row>
    <row r="856" spans="1:4" x14ac:dyDescent="0.25">
      <c r="A856">
        <v>882</v>
      </c>
      <c r="B856" t="s">
        <v>361</v>
      </c>
      <c r="C856" t="s">
        <v>225</v>
      </c>
      <c r="D856">
        <v>0</v>
      </c>
    </row>
    <row r="857" spans="1:4" x14ac:dyDescent="0.25">
      <c r="A857">
        <v>883</v>
      </c>
      <c r="B857" t="s">
        <v>362</v>
      </c>
      <c r="C857" t="s">
        <v>225</v>
      </c>
      <c r="D857">
        <v>36</v>
      </c>
    </row>
    <row r="858" spans="1:4" x14ac:dyDescent="0.25">
      <c r="A858">
        <v>884</v>
      </c>
      <c r="B858" t="s">
        <v>363</v>
      </c>
      <c r="C858" t="s">
        <v>225</v>
      </c>
      <c r="D858">
        <v>72</v>
      </c>
    </row>
    <row r="859" spans="1:4" x14ac:dyDescent="0.25">
      <c r="A859">
        <v>894</v>
      </c>
      <c r="B859" t="s">
        <v>364</v>
      </c>
      <c r="C859" t="s">
        <v>5</v>
      </c>
      <c r="D859">
        <v>355</v>
      </c>
    </row>
    <row r="860" spans="1:4" x14ac:dyDescent="0.25">
      <c r="A860">
        <v>894</v>
      </c>
      <c r="B860" t="s">
        <v>364</v>
      </c>
      <c r="C860" t="s">
        <v>6</v>
      </c>
      <c r="D860">
        <v>155</v>
      </c>
    </row>
    <row r="861" spans="1:4" x14ac:dyDescent="0.25">
      <c r="A861">
        <v>894</v>
      </c>
      <c r="B861" t="s">
        <v>364</v>
      </c>
      <c r="C861" t="s">
        <v>7</v>
      </c>
      <c r="D861">
        <v>337</v>
      </c>
    </row>
    <row r="862" spans="1:4" x14ac:dyDescent="0.25">
      <c r="A862">
        <v>907</v>
      </c>
      <c r="B862" t="s">
        <v>365</v>
      </c>
      <c r="C862" t="s">
        <v>5</v>
      </c>
      <c r="D862">
        <v>228</v>
      </c>
    </row>
    <row r="863" spans="1:4" x14ac:dyDescent="0.25">
      <c r="A863">
        <v>907</v>
      </c>
      <c r="B863" t="s">
        <v>365</v>
      </c>
      <c r="C863" t="s">
        <v>6</v>
      </c>
      <c r="D863">
        <v>158</v>
      </c>
    </row>
    <row r="864" spans="1:4" x14ac:dyDescent="0.25">
      <c r="A864">
        <v>907</v>
      </c>
      <c r="B864" t="s">
        <v>365</v>
      </c>
      <c r="C864" t="s">
        <v>7</v>
      </c>
      <c r="D864">
        <v>337</v>
      </c>
    </row>
    <row r="865" spans="1:4" x14ac:dyDescent="0.25">
      <c r="A865">
        <v>908</v>
      </c>
      <c r="B865" t="s">
        <v>366</v>
      </c>
      <c r="C865" t="s">
        <v>23</v>
      </c>
      <c r="D865">
        <v>195</v>
      </c>
    </row>
    <row r="866" spans="1:4" x14ac:dyDescent="0.25">
      <c r="A866">
        <v>908</v>
      </c>
      <c r="B866" t="s">
        <v>366</v>
      </c>
      <c r="C866" t="s">
        <v>5</v>
      </c>
      <c r="D866">
        <v>400</v>
      </c>
    </row>
    <row r="867" spans="1:4" x14ac:dyDescent="0.25">
      <c r="A867">
        <v>908</v>
      </c>
      <c r="B867" t="s">
        <v>366</v>
      </c>
      <c r="C867" t="s">
        <v>6</v>
      </c>
      <c r="D867">
        <v>214</v>
      </c>
    </row>
    <row r="868" spans="1:4" x14ac:dyDescent="0.25">
      <c r="A868">
        <v>909</v>
      </c>
      <c r="B868" t="s">
        <v>367</v>
      </c>
      <c r="C868" t="s">
        <v>23</v>
      </c>
      <c r="D868">
        <v>120</v>
      </c>
    </row>
    <row r="869" spans="1:4" x14ac:dyDescent="0.25">
      <c r="A869">
        <v>909</v>
      </c>
      <c r="B869" t="s">
        <v>367</v>
      </c>
      <c r="C869" t="s">
        <v>5</v>
      </c>
      <c r="D869">
        <v>230</v>
      </c>
    </row>
    <row r="870" spans="1:4" x14ac:dyDescent="0.25">
      <c r="A870">
        <v>909</v>
      </c>
      <c r="B870" t="s">
        <v>367</v>
      </c>
      <c r="C870" t="s">
        <v>6</v>
      </c>
      <c r="D870">
        <v>72</v>
      </c>
    </row>
    <row r="871" spans="1:4" x14ac:dyDescent="0.25">
      <c r="A871">
        <v>910</v>
      </c>
      <c r="B871" t="s">
        <v>368</v>
      </c>
      <c r="C871" t="s">
        <v>23</v>
      </c>
      <c r="D871">
        <v>96</v>
      </c>
    </row>
    <row r="872" spans="1:4" x14ac:dyDescent="0.25">
      <c r="A872">
        <v>910</v>
      </c>
      <c r="B872" t="s">
        <v>368</v>
      </c>
      <c r="C872" t="s">
        <v>5</v>
      </c>
      <c r="D872">
        <v>91</v>
      </c>
    </row>
    <row r="873" spans="1:4" x14ac:dyDescent="0.25">
      <c r="A873">
        <v>910</v>
      </c>
      <c r="B873" t="s">
        <v>368</v>
      </c>
      <c r="C873" t="s">
        <v>6</v>
      </c>
      <c r="D873">
        <v>168</v>
      </c>
    </row>
    <row r="874" spans="1:4" x14ac:dyDescent="0.25">
      <c r="A874">
        <v>911</v>
      </c>
      <c r="B874" t="s">
        <v>369</v>
      </c>
      <c r="C874" t="s">
        <v>23</v>
      </c>
      <c r="D874">
        <v>302</v>
      </c>
    </row>
    <row r="875" spans="1:4" x14ac:dyDescent="0.25">
      <c r="A875">
        <v>911</v>
      </c>
      <c r="B875" t="s">
        <v>369</v>
      </c>
      <c r="C875" t="s">
        <v>5</v>
      </c>
      <c r="D875">
        <v>283</v>
      </c>
    </row>
    <row r="876" spans="1:4" x14ac:dyDescent="0.25">
      <c r="A876">
        <v>911</v>
      </c>
      <c r="B876" t="s">
        <v>369</v>
      </c>
      <c r="C876" t="s">
        <v>6</v>
      </c>
      <c r="D876">
        <v>321</v>
      </c>
    </row>
    <row r="877" spans="1:4" x14ac:dyDescent="0.25">
      <c r="A877">
        <v>912</v>
      </c>
      <c r="B877" t="s">
        <v>370</v>
      </c>
      <c r="C877" t="s">
        <v>23</v>
      </c>
      <c r="D877">
        <v>246</v>
      </c>
    </row>
    <row r="878" spans="1:4" x14ac:dyDescent="0.25">
      <c r="A878">
        <v>912</v>
      </c>
      <c r="B878" t="s">
        <v>370</v>
      </c>
      <c r="C878" t="s">
        <v>5</v>
      </c>
      <c r="D878">
        <v>302</v>
      </c>
    </row>
    <row r="879" spans="1:4" x14ac:dyDescent="0.25">
      <c r="A879">
        <v>912</v>
      </c>
      <c r="B879" t="s">
        <v>370</v>
      </c>
      <c r="C879" t="s">
        <v>6</v>
      </c>
      <c r="D879">
        <v>353</v>
      </c>
    </row>
    <row r="880" spans="1:4" x14ac:dyDescent="0.25">
      <c r="A880">
        <v>913</v>
      </c>
      <c r="B880" t="s">
        <v>371</v>
      </c>
      <c r="C880" t="s">
        <v>23</v>
      </c>
      <c r="D880">
        <v>153</v>
      </c>
    </row>
    <row r="881" spans="1:4" x14ac:dyDescent="0.25">
      <c r="A881">
        <v>913</v>
      </c>
      <c r="B881" t="s">
        <v>371</v>
      </c>
      <c r="C881" t="s">
        <v>5</v>
      </c>
      <c r="D881">
        <v>169</v>
      </c>
    </row>
    <row r="882" spans="1:4" x14ac:dyDescent="0.25">
      <c r="A882">
        <v>913</v>
      </c>
      <c r="B882" t="s">
        <v>371</v>
      </c>
      <c r="C882" t="s">
        <v>6</v>
      </c>
      <c r="D882">
        <v>145</v>
      </c>
    </row>
    <row r="883" spans="1:4" x14ac:dyDescent="0.25">
      <c r="A883">
        <v>914</v>
      </c>
      <c r="B883" t="s">
        <v>372</v>
      </c>
      <c r="C883" t="s">
        <v>23</v>
      </c>
      <c r="D883">
        <v>382</v>
      </c>
    </row>
    <row r="884" spans="1:4" x14ac:dyDescent="0.25">
      <c r="A884">
        <v>914</v>
      </c>
      <c r="B884" t="s">
        <v>372</v>
      </c>
      <c r="C884" t="s">
        <v>5</v>
      </c>
      <c r="D884">
        <v>248</v>
      </c>
    </row>
    <row r="885" spans="1:4" x14ac:dyDescent="0.25">
      <c r="A885">
        <v>914</v>
      </c>
      <c r="B885" t="s">
        <v>372</v>
      </c>
      <c r="C885" t="s">
        <v>6</v>
      </c>
      <c r="D885">
        <v>171</v>
      </c>
    </row>
    <row r="886" spans="1:4" x14ac:dyDescent="0.25">
      <c r="A886">
        <v>915</v>
      </c>
      <c r="B886" t="s">
        <v>373</v>
      </c>
      <c r="C886" t="s">
        <v>23</v>
      </c>
      <c r="D886">
        <v>158</v>
      </c>
    </row>
    <row r="887" spans="1:4" x14ac:dyDescent="0.25">
      <c r="A887">
        <v>915</v>
      </c>
      <c r="B887" t="s">
        <v>373</v>
      </c>
      <c r="C887" t="s">
        <v>5</v>
      </c>
      <c r="D887">
        <v>161</v>
      </c>
    </row>
    <row r="888" spans="1:4" x14ac:dyDescent="0.25">
      <c r="A888">
        <v>915</v>
      </c>
      <c r="B888" t="s">
        <v>373</v>
      </c>
      <c r="C888" t="s">
        <v>6</v>
      </c>
      <c r="D888">
        <v>83</v>
      </c>
    </row>
    <row r="889" spans="1:4" x14ac:dyDescent="0.25">
      <c r="A889">
        <v>916</v>
      </c>
      <c r="B889" t="s">
        <v>374</v>
      </c>
      <c r="C889" t="s">
        <v>23</v>
      </c>
      <c r="D889">
        <v>276</v>
      </c>
    </row>
    <row r="890" spans="1:4" x14ac:dyDescent="0.25">
      <c r="A890">
        <v>916</v>
      </c>
      <c r="B890" t="s">
        <v>374</v>
      </c>
      <c r="C890" t="s">
        <v>5</v>
      </c>
      <c r="D890">
        <v>425</v>
      </c>
    </row>
    <row r="891" spans="1:4" x14ac:dyDescent="0.25">
      <c r="A891">
        <v>916</v>
      </c>
      <c r="B891" t="s">
        <v>374</v>
      </c>
      <c r="C891" t="s">
        <v>6</v>
      </c>
      <c r="D891">
        <v>288</v>
      </c>
    </row>
    <row r="892" spans="1:4" x14ac:dyDescent="0.25">
      <c r="A892">
        <v>921</v>
      </c>
      <c r="B892" t="s">
        <v>375</v>
      </c>
      <c r="C892" t="s">
        <v>5</v>
      </c>
      <c r="D892">
        <v>286</v>
      </c>
    </row>
    <row r="893" spans="1:4" x14ac:dyDescent="0.25">
      <c r="A893">
        <v>921</v>
      </c>
      <c r="B893" t="s">
        <v>375</v>
      </c>
      <c r="C893" t="s">
        <v>6</v>
      </c>
      <c r="D893">
        <v>243</v>
      </c>
    </row>
    <row r="894" spans="1:4" x14ac:dyDescent="0.25">
      <c r="A894">
        <v>922</v>
      </c>
      <c r="B894" t="s">
        <v>376</v>
      </c>
      <c r="C894" t="s">
        <v>5</v>
      </c>
      <c r="D894">
        <v>264</v>
      </c>
    </row>
    <row r="895" spans="1:4" x14ac:dyDescent="0.25">
      <c r="A895">
        <v>922</v>
      </c>
      <c r="B895" t="s">
        <v>376</v>
      </c>
      <c r="C895" t="s">
        <v>6</v>
      </c>
      <c r="D895">
        <v>241</v>
      </c>
    </row>
    <row r="896" spans="1:4" x14ac:dyDescent="0.25">
      <c r="A896">
        <v>923</v>
      </c>
      <c r="B896" t="s">
        <v>377</v>
      </c>
      <c r="C896" t="s">
        <v>5</v>
      </c>
      <c r="D896">
        <v>262</v>
      </c>
    </row>
    <row r="897" spans="1:4" x14ac:dyDescent="0.25">
      <c r="A897">
        <v>923</v>
      </c>
      <c r="B897" t="s">
        <v>377</v>
      </c>
      <c r="C897" t="s">
        <v>6</v>
      </c>
      <c r="D897">
        <v>240</v>
      </c>
    </row>
    <row r="898" spans="1:4" x14ac:dyDescent="0.25">
      <c r="A898">
        <v>928</v>
      </c>
      <c r="B898" t="s">
        <v>378</v>
      </c>
      <c r="C898" t="s">
        <v>5</v>
      </c>
      <c r="D898">
        <v>240</v>
      </c>
    </row>
    <row r="899" spans="1:4" x14ac:dyDescent="0.25">
      <c r="A899">
        <v>928</v>
      </c>
      <c r="B899" t="s">
        <v>378</v>
      </c>
      <c r="C899" t="s">
        <v>6</v>
      </c>
      <c r="D899">
        <v>369</v>
      </c>
    </row>
    <row r="900" spans="1:4" x14ac:dyDescent="0.25">
      <c r="A900">
        <v>929</v>
      </c>
      <c r="B900" t="s">
        <v>379</v>
      </c>
      <c r="C900" t="s">
        <v>5</v>
      </c>
      <c r="D900">
        <v>385</v>
      </c>
    </row>
    <row r="901" spans="1:4" x14ac:dyDescent="0.25">
      <c r="A901">
        <v>929</v>
      </c>
      <c r="B901" t="s">
        <v>379</v>
      </c>
      <c r="C901" t="s">
        <v>6</v>
      </c>
      <c r="D901">
        <v>284</v>
      </c>
    </row>
    <row r="902" spans="1:4" x14ac:dyDescent="0.25">
      <c r="A902">
        <v>930</v>
      </c>
      <c r="B902" t="s">
        <v>380</v>
      </c>
      <c r="C902" t="s">
        <v>5</v>
      </c>
      <c r="D902">
        <v>267</v>
      </c>
    </row>
    <row r="903" spans="1:4" x14ac:dyDescent="0.25">
      <c r="A903">
        <v>930</v>
      </c>
      <c r="B903" t="s">
        <v>380</v>
      </c>
      <c r="C903" t="s">
        <v>6</v>
      </c>
      <c r="D903">
        <v>232</v>
      </c>
    </row>
    <row r="904" spans="1:4" x14ac:dyDescent="0.25">
      <c r="A904">
        <v>931</v>
      </c>
      <c r="B904" t="s">
        <v>381</v>
      </c>
      <c r="C904" t="s">
        <v>5</v>
      </c>
      <c r="D904">
        <v>236</v>
      </c>
    </row>
    <row r="905" spans="1:4" x14ac:dyDescent="0.25">
      <c r="A905">
        <v>931</v>
      </c>
      <c r="B905" t="s">
        <v>381</v>
      </c>
      <c r="C905" t="s">
        <v>6</v>
      </c>
      <c r="D905">
        <v>252</v>
      </c>
    </row>
    <row r="906" spans="1:4" x14ac:dyDescent="0.25">
      <c r="A906">
        <v>932</v>
      </c>
      <c r="B906" t="s">
        <v>382</v>
      </c>
      <c r="C906" t="s">
        <v>5</v>
      </c>
      <c r="D906">
        <v>382</v>
      </c>
    </row>
    <row r="907" spans="1:4" x14ac:dyDescent="0.25">
      <c r="A907">
        <v>932</v>
      </c>
      <c r="B907" t="s">
        <v>382</v>
      </c>
      <c r="C907" t="s">
        <v>6</v>
      </c>
      <c r="D907">
        <v>192</v>
      </c>
    </row>
    <row r="908" spans="1:4" x14ac:dyDescent="0.25">
      <c r="A908">
        <v>933</v>
      </c>
      <c r="B908" t="s">
        <v>383</v>
      </c>
      <c r="C908" t="s">
        <v>5</v>
      </c>
      <c r="D908">
        <v>299</v>
      </c>
    </row>
    <row r="909" spans="1:4" x14ac:dyDescent="0.25">
      <c r="A909">
        <v>933</v>
      </c>
      <c r="B909" t="s">
        <v>383</v>
      </c>
      <c r="C909" t="s">
        <v>6</v>
      </c>
      <c r="D909">
        <v>228</v>
      </c>
    </row>
    <row r="910" spans="1:4" x14ac:dyDescent="0.25">
      <c r="A910">
        <v>934</v>
      </c>
      <c r="B910" t="s">
        <v>384</v>
      </c>
      <c r="C910" t="s">
        <v>5</v>
      </c>
      <c r="D910">
        <v>233</v>
      </c>
    </row>
    <row r="911" spans="1:4" x14ac:dyDescent="0.25">
      <c r="A911">
        <v>934</v>
      </c>
      <c r="B911" t="s">
        <v>384</v>
      </c>
      <c r="C911" t="s">
        <v>6</v>
      </c>
      <c r="D911">
        <v>249</v>
      </c>
    </row>
    <row r="912" spans="1:4" x14ac:dyDescent="0.25">
      <c r="A912">
        <v>935</v>
      </c>
      <c r="B912" t="s">
        <v>385</v>
      </c>
      <c r="C912" t="s">
        <v>5</v>
      </c>
      <c r="D912">
        <v>182</v>
      </c>
    </row>
    <row r="913" spans="1:4" x14ac:dyDescent="0.25">
      <c r="A913">
        <v>935</v>
      </c>
      <c r="B913" t="s">
        <v>385</v>
      </c>
      <c r="C913" t="s">
        <v>6</v>
      </c>
      <c r="D913">
        <v>156</v>
      </c>
    </row>
    <row r="914" spans="1:4" x14ac:dyDescent="0.25">
      <c r="A914">
        <v>935</v>
      </c>
      <c r="B914" t="s">
        <v>385</v>
      </c>
      <c r="C914" t="s">
        <v>7</v>
      </c>
      <c r="D914">
        <v>174</v>
      </c>
    </row>
    <row r="915" spans="1:4" x14ac:dyDescent="0.25">
      <c r="A915">
        <v>936</v>
      </c>
      <c r="B915" t="s">
        <v>386</v>
      </c>
      <c r="C915" t="s">
        <v>5</v>
      </c>
      <c r="D915">
        <v>180</v>
      </c>
    </row>
    <row r="916" spans="1:4" x14ac:dyDescent="0.25">
      <c r="A916">
        <v>936</v>
      </c>
      <c r="B916" t="s">
        <v>386</v>
      </c>
      <c r="C916" t="s">
        <v>6</v>
      </c>
      <c r="D916">
        <v>155</v>
      </c>
    </row>
    <row r="917" spans="1:4" x14ac:dyDescent="0.25">
      <c r="A917">
        <v>936</v>
      </c>
      <c r="B917" t="s">
        <v>386</v>
      </c>
      <c r="C917" t="s">
        <v>7</v>
      </c>
      <c r="D917">
        <v>172</v>
      </c>
    </row>
    <row r="918" spans="1:4" x14ac:dyDescent="0.25">
      <c r="A918">
        <v>937</v>
      </c>
      <c r="B918" t="s">
        <v>387</v>
      </c>
      <c r="C918" t="s">
        <v>5</v>
      </c>
      <c r="D918">
        <v>179</v>
      </c>
    </row>
    <row r="919" spans="1:4" x14ac:dyDescent="0.25">
      <c r="A919">
        <v>937</v>
      </c>
      <c r="B919" t="s">
        <v>387</v>
      </c>
      <c r="C919" t="s">
        <v>6</v>
      </c>
      <c r="D919">
        <v>153</v>
      </c>
    </row>
    <row r="920" spans="1:4" x14ac:dyDescent="0.25">
      <c r="A920">
        <v>937</v>
      </c>
      <c r="B920" t="s">
        <v>387</v>
      </c>
      <c r="C920" t="s">
        <v>7</v>
      </c>
      <c r="D920">
        <v>171</v>
      </c>
    </row>
    <row r="921" spans="1:4" x14ac:dyDescent="0.25">
      <c r="A921">
        <v>938</v>
      </c>
      <c r="B921" t="s">
        <v>388</v>
      </c>
      <c r="C921" t="s">
        <v>5</v>
      </c>
      <c r="D921">
        <v>177</v>
      </c>
    </row>
    <row r="922" spans="1:4" x14ac:dyDescent="0.25">
      <c r="A922">
        <v>938</v>
      </c>
      <c r="B922" t="s">
        <v>388</v>
      </c>
      <c r="C922" t="s">
        <v>6</v>
      </c>
      <c r="D922">
        <v>152</v>
      </c>
    </row>
    <row r="923" spans="1:4" x14ac:dyDescent="0.25">
      <c r="A923">
        <v>938</v>
      </c>
      <c r="B923" t="s">
        <v>388</v>
      </c>
      <c r="C923" t="s">
        <v>7</v>
      </c>
      <c r="D923">
        <v>169</v>
      </c>
    </row>
    <row r="924" spans="1:4" x14ac:dyDescent="0.25">
      <c r="A924">
        <v>939</v>
      </c>
      <c r="B924" t="s">
        <v>389</v>
      </c>
      <c r="C924" t="s">
        <v>5</v>
      </c>
      <c r="D924">
        <v>176</v>
      </c>
    </row>
    <row r="925" spans="1:4" x14ac:dyDescent="0.25">
      <c r="A925">
        <v>939</v>
      </c>
      <c r="B925" t="s">
        <v>389</v>
      </c>
      <c r="C925" t="s">
        <v>6</v>
      </c>
      <c r="D925">
        <v>150</v>
      </c>
    </row>
    <row r="926" spans="1:4" x14ac:dyDescent="0.25">
      <c r="A926">
        <v>939</v>
      </c>
      <c r="B926" t="s">
        <v>389</v>
      </c>
      <c r="C926" t="s">
        <v>7</v>
      </c>
      <c r="D926">
        <v>168</v>
      </c>
    </row>
    <row r="927" spans="1:4" x14ac:dyDescent="0.25">
      <c r="A927">
        <v>940</v>
      </c>
      <c r="B927" t="s">
        <v>390</v>
      </c>
      <c r="C927" t="s">
        <v>5</v>
      </c>
      <c r="D927">
        <v>267</v>
      </c>
    </row>
    <row r="928" spans="1:4" x14ac:dyDescent="0.25">
      <c r="A928">
        <v>940</v>
      </c>
      <c r="B928" t="s">
        <v>390</v>
      </c>
      <c r="C928" t="s">
        <v>6</v>
      </c>
      <c r="D928">
        <v>323</v>
      </c>
    </row>
    <row r="929" spans="1:4" x14ac:dyDescent="0.25">
      <c r="A929">
        <v>940</v>
      </c>
      <c r="B929" t="s">
        <v>390</v>
      </c>
      <c r="C929" t="s">
        <v>7</v>
      </c>
      <c r="D929">
        <v>316</v>
      </c>
    </row>
    <row r="930" spans="1:4" x14ac:dyDescent="0.25">
      <c r="A930">
        <v>941</v>
      </c>
      <c r="B930" t="s">
        <v>391</v>
      </c>
      <c r="C930" t="s">
        <v>5</v>
      </c>
      <c r="D930">
        <v>262</v>
      </c>
    </row>
    <row r="931" spans="1:4" x14ac:dyDescent="0.25">
      <c r="A931">
        <v>941</v>
      </c>
      <c r="B931" t="s">
        <v>391</v>
      </c>
      <c r="C931" t="s">
        <v>6</v>
      </c>
      <c r="D931">
        <v>388</v>
      </c>
    </row>
    <row r="932" spans="1:4" x14ac:dyDescent="0.25">
      <c r="A932">
        <v>941</v>
      </c>
      <c r="B932" t="s">
        <v>391</v>
      </c>
      <c r="C932" t="s">
        <v>7</v>
      </c>
      <c r="D932">
        <v>235</v>
      </c>
    </row>
    <row r="933" spans="1:4" x14ac:dyDescent="0.25">
      <c r="A933">
        <v>942</v>
      </c>
      <c r="B933" t="s">
        <v>392</v>
      </c>
      <c r="C933" t="s">
        <v>236</v>
      </c>
      <c r="D933">
        <v>147</v>
      </c>
    </row>
    <row r="934" spans="1:4" x14ac:dyDescent="0.25">
      <c r="A934">
        <v>942</v>
      </c>
      <c r="B934" t="s">
        <v>392</v>
      </c>
      <c r="C934" t="s">
        <v>23</v>
      </c>
      <c r="D934">
        <v>136</v>
      </c>
    </row>
    <row r="935" spans="1:4" x14ac:dyDescent="0.25">
      <c r="A935">
        <v>942</v>
      </c>
      <c r="B935" t="s">
        <v>392</v>
      </c>
      <c r="C935" t="s">
        <v>12</v>
      </c>
      <c r="D935">
        <v>120</v>
      </c>
    </row>
    <row r="936" spans="1:4" x14ac:dyDescent="0.25">
      <c r="A936">
        <v>942</v>
      </c>
      <c r="B936" t="s">
        <v>392</v>
      </c>
      <c r="C936" t="s">
        <v>87</v>
      </c>
      <c r="D936">
        <v>160</v>
      </c>
    </row>
    <row r="937" spans="1:4" x14ac:dyDescent="0.25">
      <c r="A937">
        <v>942</v>
      </c>
      <c r="B937" t="s">
        <v>392</v>
      </c>
      <c r="C937" t="s">
        <v>238</v>
      </c>
      <c r="D937">
        <v>105</v>
      </c>
    </row>
    <row r="938" spans="1:4" x14ac:dyDescent="0.25">
      <c r="A938">
        <v>942</v>
      </c>
      <c r="B938" t="s">
        <v>392</v>
      </c>
      <c r="C938" t="s">
        <v>6</v>
      </c>
      <c r="D938">
        <v>158</v>
      </c>
    </row>
    <row r="939" spans="1:4" x14ac:dyDescent="0.25">
      <c r="A939">
        <v>943</v>
      </c>
      <c r="B939" t="s">
        <v>393</v>
      </c>
      <c r="C939" t="s">
        <v>236</v>
      </c>
      <c r="D939">
        <v>129</v>
      </c>
    </row>
    <row r="940" spans="1:4" x14ac:dyDescent="0.25">
      <c r="A940">
        <v>943</v>
      </c>
      <c r="B940" t="s">
        <v>393</v>
      </c>
      <c r="C940" t="s">
        <v>23</v>
      </c>
      <c r="D940">
        <v>118</v>
      </c>
    </row>
    <row r="941" spans="1:4" x14ac:dyDescent="0.25">
      <c r="A941">
        <v>943</v>
      </c>
      <c r="B941" t="s">
        <v>393</v>
      </c>
      <c r="C941" t="s">
        <v>12</v>
      </c>
      <c r="D941">
        <v>102</v>
      </c>
    </row>
    <row r="942" spans="1:4" x14ac:dyDescent="0.25">
      <c r="A942">
        <v>943</v>
      </c>
      <c r="B942" t="s">
        <v>393</v>
      </c>
      <c r="C942" t="s">
        <v>87</v>
      </c>
      <c r="D942">
        <v>142</v>
      </c>
    </row>
    <row r="943" spans="1:4" x14ac:dyDescent="0.25">
      <c r="A943">
        <v>943</v>
      </c>
      <c r="B943" t="s">
        <v>393</v>
      </c>
      <c r="C943" t="s">
        <v>183</v>
      </c>
      <c r="D943">
        <v>88</v>
      </c>
    </row>
    <row r="944" spans="1:4" x14ac:dyDescent="0.25">
      <c r="A944">
        <v>943</v>
      </c>
      <c r="B944" t="s">
        <v>393</v>
      </c>
      <c r="C944" t="s">
        <v>6</v>
      </c>
      <c r="D944">
        <v>140</v>
      </c>
    </row>
    <row r="945" spans="1:4" x14ac:dyDescent="0.25">
      <c r="A945">
        <v>944</v>
      </c>
      <c r="B945" t="s">
        <v>394</v>
      </c>
      <c r="C945" t="s">
        <v>236</v>
      </c>
      <c r="D945">
        <v>123</v>
      </c>
    </row>
    <row r="946" spans="1:4" x14ac:dyDescent="0.25">
      <c r="A946">
        <v>944</v>
      </c>
      <c r="B946" t="s">
        <v>394</v>
      </c>
      <c r="C946" t="s">
        <v>23</v>
      </c>
      <c r="D946">
        <v>134</v>
      </c>
    </row>
    <row r="947" spans="1:4" x14ac:dyDescent="0.25">
      <c r="A947">
        <v>944</v>
      </c>
      <c r="B947" t="s">
        <v>394</v>
      </c>
      <c r="C947" t="s">
        <v>12</v>
      </c>
      <c r="D947">
        <v>112</v>
      </c>
    </row>
    <row r="948" spans="1:4" x14ac:dyDescent="0.25">
      <c r="A948">
        <v>944</v>
      </c>
      <c r="B948" t="s">
        <v>394</v>
      </c>
      <c r="C948" t="s">
        <v>87</v>
      </c>
      <c r="D948">
        <v>96</v>
      </c>
    </row>
    <row r="949" spans="1:4" x14ac:dyDescent="0.25">
      <c r="A949">
        <v>944</v>
      </c>
      <c r="B949" t="s">
        <v>394</v>
      </c>
      <c r="C949" t="s">
        <v>238</v>
      </c>
      <c r="D949">
        <v>136</v>
      </c>
    </row>
    <row r="950" spans="1:4" x14ac:dyDescent="0.25">
      <c r="A950">
        <v>944</v>
      </c>
      <c r="B950" t="s">
        <v>394</v>
      </c>
      <c r="C950" t="s">
        <v>6</v>
      </c>
      <c r="D950">
        <v>81</v>
      </c>
    </row>
    <row r="951" spans="1:4" x14ac:dyDescent="0.25">
      <c r="A951">
        <v>945</v>
      </c>
      <c r="B951" t="s">
        <v>395</v>
      </c>
      <c r="C951" t="s">
        <v>12</v>
      </c>
      <c r="D951">
        <v>236</v>
      </c>
    </row>
    <row r="952" spans="1:4" x14ac:dyDescent="0.25">
      <c r="A952">
        <v>945</v>
      </c>
      <c r="B952" t="s">
        <v>395</v>
      </c>
      <c r="C952" t="s">
        <v>13</v>
      </c>
      <c r="D952">
        <v>347</v>
      </c>
    </row>
    <row r="953" spans="1:4" x14ac:dyDescent="0.25">
      <c r="A953">
        <v>945</v>
      </c>
      <c r="B953" t="s">
        <v>395</v>
      </c>
      <c r="C953" t="s">
        <v>6</v>
      </c>
      <c r="D953">
        <v>270</v>
      </c>
    </row>
    <row r="954" spans="1:4" x14ac:dyDescent="0.25">
      <c r="A954">
        <v>946</v>
      </c>
      <c r="B954" t="s">
        <v>396</v>
      </c>
      <c r="C954" t="s">
        <v>12</v>
      </c>
      <c r="D954">
        <v>248</v>
      </c>
    </row>
    <row r="955" spans="1:4" x14ac:dyDescent="0.25">
      <c r="A955">
        <v>946</v>
      </c>
      <c r="B955" t="s">
        <v>396</v>
      </c>
      <c r="C955" t="s">
        <v>87</v>
      </c>
      <c r="D955">
        <v>257</v>
      </c>
    </row>
    <row r="956" spans="1:4" x14ac:dyDescent="0.25">
      <c r="A956">
        <v>946</v>
      </c>
      <c r="B956" t="s">
        <v>396</v>
      </c>
      <c r="C956" t="s">
        <v>6</v>
      </c>
      <c r="D956">
        <v>297</v>
      </c>
    </row>
    <row r="957" spans="1:4" x14ac:dyDescent="0.25">
      <c r="A957">
        <v>947</v>
      </c>
      <c r="B957" t="s">
        <v>397</v>
      </c>
      <c r="C957" t="s">
        <v>12</v>
      </c>
      <c r="D957">
        <v>244</v>
      </c>
    </row>
    <row r="958" spans="1:4" x14ac:dyDescent="0.25">
      <c r="A958">
        <v>947</v>
      </c>
      <c r="B958" t="s">
        <v>397</v>
      </c>
      <c r="C958" t="s">
        <v>87</v>
      </c>
      <c r="D958">
        <v>254</v>
      </c>
    </row>
    <row r="959" spans="1:4" x14ac:dyDescent="0.25">
      <c r="A959">
        <v>947</v>
      </c>
      <c r="B959" t="s">
        <v>397</v>
      </c>
      <c r="C959" t="s">
        <v>6</v>
      </c>
      <c r="D959">
        <v>294</v>
      </c>
    </row>
    <row r="960" spans="1:4" x14ac:dyDescent="0.25">
      <c r="A960">
        <v>948</v>
      </c>
      <c r="B960" t="s">
        <v>398</v>
      </c>
      <c r="C960" t="s">
        <v>13</v>
      </c>
      <c r="D960">
        <v>347</v>
      </c>
    </row>
    <row r="961" spans="1:4" x14ac:dyDescent="0.25">
      <c r="A961">
        <v>948</v>
      </c>
      <c r="B961" t="s">
        <v>398</v>
      </c>
      <c r="C961" t="s">
        <v>6</v>
      </c>
      <c r="D961">
        <v>420</v>
      </c>
    </row>
    <row r="962" spans="1:4" x14ac:dyDescent="0.25">
      <c r="A962">
        <v>949</v>
      </c>
      <c r="B962" t="s">
        <v>399</v>
      </c>
      <c r="C962" t="s">
        <v>13</v>
      </c>
      <c r="D962">
        <v>336</v>
      </c>
    </row>
    <row r="963" spans="1:4" x14ac:dyDescent="0.25">
      <c r="A963">
        <v>949</v>
      </c>
      <c r="B963" t="s">
        <v>399</v>
      </c>
      <c r="C963" t="s">
        <v>6</v>
      </c>
      <c r="D963">
        <v>284</v>
      </c>
    </row>
    <row r="964" spans="1:4" x14ac:dyDescent="0.25">
      <c r="A964">
        <v>949</v>
      </c>
      <c r="B964" t="s">
        <v>399</v>
      </c>
      <c r="C964" t="s">
        <v>7</v>
      </c>
      <c r="D964">
        <v>265</v>
      </c>
    </row>
    <row r="965" spans="1:4" x14ac:dyDescent="0.25">
      <c r="A965">
        <v>950</v>
      </c>
      <c r="B965" t="s">
        <v>400</v>
      </c>
      <c r="C965" t="s">
        <v>13</v>
      </c>
      <c r="D965">
        <v>342</v>
      </c>
    </row>
    <row r="966" spans="1:4" x14ac:dyDescent="0.25">
      <c r="A966">
        <v>950</v>
      </c>
      <c r="B966" t="s">
        <v>400</v>
      </c>
      <c r="C966" t="s">
        <v>6</v>
      </c>
      <c r="D966">
        <v>291</v>
      </c>
    </row>
    <row r="967" spans="1:4" x14ac:dyDescent="0.25">
      <c r="A967">
        <v>950</v>
      </c>
      <c r="B967" t="s">
        <v>400</v>
      </c>
      <c r="C967" t="s">
        <v>7</v>
      </c>
      <c r="D967">
        <v>272</v>
      </c>
    </row>
    <row r="968" spans="1:4" x14ac:dyDescent="0.25">
      <c r="A968">
        <v>951</v>
      </c>
      <c r="B968" t="s">
        <v>401</v>
      </c>
      <c r="C968" t="s">
        <v>13</v>
      </c>
      <c r="D968">
        <v>348</v>
      </c>
    </row>
    <row r="969" spans="1:4" x14ac:dyDescent="0.25">
      <c r="A969">
        <v>951</v>
      </c>
      <c r="B969" t="s">
        <v>401</v>
      </c>
      <c r="C969" t="s">
        <v>6</v>
      </c>
      <c r="D969">
        <v>297</v>
      </c>
    </row>
    <row r="970" spans="1:4" x14ac:dyDescent="0.25">
      <c r="A970">
        <v>951</v>
      </c>
      <c r="B970" t="s">
        <v>401</v>
      </c>
      <c r="C970" t="s">
        <v>7</v>
      </c>
      <c r="D970">
        <v>278</v>
      </c>
    </row>
    <row r="971" spans="1:4" x14ac:dyDescent="0.25">
      <c r="A971">
        <v>952</v>
      </c>
      <c r="B971" t="s">
        <v>402</v>
      </c>
      <c r="C971" t="s">
        <v>13</v>
      </c>
      <c r="D971">
        <v>192</v>
      </c>
    </row>
    <row r="972" spans="1:4" x14ac:dyDescent="0.25">
      <c r="A972">
        <v>952</v>
      </c>
      <c r="B972" t="s">
        <v>402</v>
      </c>
      <c r="C972" t="s">
        <v>6</v>
      </c>
      <c r="D972">
        <v>161</v>
      </c>
    </row>
    <row r="973" spans="1:4" x14ac:dyDescent="0.25">
      <c r="A973">
        <v>952</v>
      </c>
      <c r="B973" t="s">
        <v>402</v>
      </c>
      <c r="C973" t="s">
        <v>7</v>
      </c>
      <c r="D973">
        <v>236</v>
      </c>
    </row>
    <row r="974" spans="1:4" x14ac:dyDescent="0.25">
      <c r="A974">
        <v>953</v>
      </c>
      <c r="B974" t="s">
        <v>403</v>
      </c>
      <c r="C974" t="s">
        <v>23</v>
      </c>
      <c r="D974">
        <v>49</v>
      </c>
    </row>
    <row r="975" spans="1:4" x14ac:dyDescent="0.25">
      <c r="A975">
        <v>953</v>
      </c>
      <c r="B975" t="s">
        <v>403</v>
      </c>
      <c r="C975" t="s">
        <v>225</v>
      </c>
      <c r="D975">
        <v>116</v>
      </c>
    </row>
    <row r="976" spans="1:4" x14ac:dyDescent="0.25">
      <c r="A976">
        <v>954</v>
      </c>
      <c r="B976" t="s">
        <v>404</v>
      </c>
      <c r="C976" t="s">
        <v>23</v>
      </c>
      <c r="D976">
        <v>83</v>
      </c>
    </row>
    <row r="977" spans="1:4" x14ac:dyDescent="0.25">
      <c r="A977">
        <v>954</v>
      </c>
      <c r="B977" t="s">
        <v>404</v>
      </c>
      <c r="C977" t="s">
        <v>225</v>
      </c>
      <c r="D977">
        <v>65</v>
      </c>
    </row>
    <row r="978" spans="1:4" x14ac:dyDescent="0.25">
      <c r="A978">
        <v>955</v>
      </c>
      <c r="B978" t="s">
        <v>405</v>
      </c>
      <c r="C978" t="s">
        <v>23</v>
      </c>
      <c r="D978">
        <v>62</v>
      </c>
    </row>
    <row r="979" spans="1:4" x14ac:dyDescent="0.25">
      <c r="A979">
        <v>955</v>
      </c>
      <c r="B979" t="s">
        <v>405</v>
      </c>
      <c r="C979" t="s">
        <v>225</v>
      </c>
      <c r="D979">
        <v>75</v>
      </c>
    </row>
    <row r="980" spans="1:4" x14ac:dyDescent="0.25">
      <c r="A980">
        <v>956</v>
      </c>
      <c r="B980" t="s">
        <v>406</v>
      </c>
      <c r="C980" t="s">
        <v>23</v>
      </c>
      <c r="D980">
        <v>40</v>
      </c>
    </row>
    <row r="981" spans="1:4" x14ac:dyDescent="0.25">
      <c r="A981">
        <v>956</v>
      </c>
      <c r="B981" t="s">
        <v>406</v>
      </c>
      <c r="C981" t="s">
        <v>225</v>
      </c>
      <c r="D981">
        <v>35</v>
      </c>
    </row>
    <row r="982" spans="1:4" x14ac:dyDescent="0.25">
      <c r="A982">
        <v>957</v>
      </c>
      <c r="B982" t="s">
        <v>407</v>
      </c>
      <c r="C982" t="s">
        <v>23</v>
      </c>
      <c r="D982">
        <v>100</v>
      </c>
    </row>
    <row r="983" spans="1:4" x14ac:dyDescent="0.25">
      <c r="A983">
        <v>957</v>
      </c>
      <c r="B983" t="s">
        <v>407</v>
      </c>
      <c r="C983" t="s">
        <v>225</v>
      </c>
      <c r="D983">
        <v>51</v>
      </c>
    </row>
    <row r="984" spans="1:4" x14ac:dyDescent="0.25">
      <c r="A984">
        <v>958</v>
      </c>
      <c r="B984" t="s">
        <v>408</v>
      </c>
      <c r="C984" t="s">
        <v>23</v>
      </c>
      <c r="D984">
        <v>35</v>
      </c>
    </row>
    <row r="985" spans="1:4" x14ac:dyDescent="0.25">
      <c r="A985">
        <v>958</v>
      </c>
      <c r="B985" t="s">
        <v>408</v>
      </c>
      <c r="C985" t="s">
        <v>225</v>
      </c>
      <c r="D985">
        <v>128</v>
      </c>
    </row>
    <row r="986" spans="1:4" x14ac:dyDescent="0.25">
      <c r="A986">
        <v>959</v>
      </c>
      <c r="B986" t="s">
        <v>409</v>
      </c>
      <c r="C986" t="s">
        <v>23</v>
      </c>
      <c r="D986">
        <v>121</v>
      </c>
    </row>
    <row r="987" spans="1:4" x14ac:dyDescent="0.25">
      <c r="A987">
        <v>959</v>
      </c>
      <c r="B987" t="s">
        <v>409</v>
      </c>
      <c r="C987" t="s">
        <v>225</v>
      </c>
      <c r="D987">
        <v>83</v>
      </c>
    </row>
    <row r="988" spans="1:4" x14ac:dyDescent="0.25">
      <c r="A988">
        <v>960</v>
      </c>
      <c r="B988" t="s">
        <v>410</v>
      </c>
      <c r="C988" t="s">
        <v>23</v>
      </c>
      <c r="D988">
        <v>105</v>
      </c>
    </row>
    <row r="989" spans="1:4" x14ac:dyDescent="0.25">
      <c r="A989">
        <v>960</v>
      </c>
      <c r="B989" t="s">
        <v>410</v>
      </c>
      <c r="C989" t="s">
        <v>225</v>
      </c>
      <c r="D989">
        <v>54</v>
      </c>
    </row>
    <row r="990" spans="1:4" x14ac:dyDescent="0.25">
      <c r="A990">
        <v>961</v>
      </c>
      <c r="B990" t="s">
        <v>411</v>
      </c>
      <c r="C990" t="s">
        <v>23</v>
      </c>
      <c r="D990">
        <v>80</v>
      </c>
    </row>
    <row r="991" spans="1:4" x14ac:dyDescent="0.25">
      <c r="A991">
        <v>961</v>
      </c>
      <c r="B991" t="s">
        <v>411</v>
      </c>
      <c r="C991" t="s">
        <v>225</v>
      </c>
      <c r="D991">
        <v>88</v>
      </c>
    </row>
    <row r="992" spans="1:4" x14ac:dyDescent="0.25">
      <c r="A992">
        <v>962</v>
      </c>
      <c r="B992" t="s">
        <v>412</v>
      </c>
      <c r="C992" t="s">
        <v>23</v>
      </c>
      <c r="D992">
        <v>107</v>
      </c>
    </row>
    <row r="993" spans="1:4" x14ac:dyDescent="0.25">
      <c r="A993">
        <v>962</v>
      </c>
      <c r="B993" t="s">
        <v>412</v>
      </c>
      <c r="C993" t="s">
        <v>225</v>
      </c>
      <c r="D993">
        <v>67</v>
      </c>
    </row>
    <row r="994" spans="1:4" x14ac:dyDescent="0.25">
      <c r="A994">
        <v>963</v>
      </c>
      <c r="B994" t="s">
        <v>413</v>
      </c>
      <c r="C994" t="s">
        <v>23</v>
      </c>
      <c r="D994">
        <v>36</v>
      </c>
    </row>
    <row r="995" spans="1:4" x14ac:dyDescent="0.25">
      <c r="A995">
        <v>963</v>
      </c>
      <c r="B995" t="s">
        <v>413</v>
      </c>
      <c r="C995" t="s">
        <v>225</v>
      </c>
      <c r="D995">
        <v>126</v>
      </c>
    </row>
    <row r="996" spans="1:4" x14ac:dyDescent="0.25">
      <c r="A996">
        <v>964</v>
      </c>
      <c r="B996" t="s">
        <v>414</v>
      </c>
      <c r="C996" t="s">
        <v>23</v>
      </c>
      <c r="D996">
        <v>116</v>
      </c>
    </row>
    <row r="997" spans="1:4" x14ac:dyDescent="0.25">
      <c r="A997">
        <v>964</v>
      </c>
      <c r="B997" t="s">
        <v>414</v>
      </c>
      <c r="C997" t="s">
        <v>225</v>
      </c>
      <c r="D997">
        <v>81</v>
      </c>
    </row>
    <row r="998" spans="1:4" x14ac:dyDescent="0.25">
      <c r="A998">
        <v>965</v>
      </c>
      <c r="B998" t="s">
        <v>415</v>
      </c>
      <c r="C998" t="s">
        <v>23</v>
      </c>
      <c r="D998">
        <v>72</v>
      </c>
    </row>
    <row r="999" spans="1:4" x14ac:dyDescent="0.25">
      <c r="A999">
        <v>965</v>
      </c>
      <c r="B999" t="s">
        <v>415</v>
      </c>
      <c r="C999" t="s">
        <v>225</v>
      </c>
      <c r="D999">
        <v>91</v>
      </c>
    </row>
    <row r="1000" spans="1:4" x14ac:dyDescent="0.25">
      <c r="A1000">
        <v>966</v>
      </c>
      <c r="B1000" t="s">
        <v>416</v>
      </c>
      <c r="C1000" t="s">
        <v>23</v>
      </c>
      <c r="D1000">
        <v>86</v>
      </c>
    </row>
    <row r="1001" spans="1:4" x14ac:dyDescent="0.25">
      <c r="A1001">
        <v>966</v>
      </c>
      <c r="B1001" t="s">
        <v>416</v>
      </c>
      <c r="C1001" t="s">
        <v>225</v>
      </c>
      <c r="D1001">
        <v>99</v>
      </c>
    </row>
    <row r="1002" spans="1:4" x14ac:dyDescent="0.25">
      <c r="A1002">
        <v>967</v>
      </c>
      <c r="B1002" t="s">
        <v>417</v>
      </c>
      <c r="C1002" t="s">
        <v>23</v>
      </c>
      <c r="D1002">
        <v>81</v>
      </c>
    </row>
    <row r="1003" spans="1:4" x14ac:dyDescent="0.25">
      <c r="A1003">
        <v>967</v>
      </c>
      <c r="B1003" t="s">
        <v>417</v>
      </c>
      <c r="C1003" t="s">
        <v>225</v>
      </c>
      <c r="D1003">
        <v>67</v>
      </c>
    </row>
    <row r="1004" spans="1:4" x14ac:dyDescent="0.25">
      <c r="A1004">
        <v>968</v>
      </c>
      <c r="B1004" t="s">
        <v>418</v>
      </c>
      <c r="C1004" t="s">
        <v>23</v>
      </c>
      <c r="D1004">
        <v>60</v>
      </c>
    </row>
    <row r="1005" spans="1:4" x14ac:dyDescent="0.25">
      <c r="A1005">
        <v>968</v>
      </c>
      <c r="B1005" t="s">
        <v>418</v>
      </c>
      <c r="C1005" t="s">
        <v>225</v>
      </c>
      <c r="D1005">
        <v>73</v>
      </c>
    </row>
    <row r="1006" spans="1:4" x14ac:dyDescent="0.25">
      <c r="A1006">
        <v>969</v>
      </c>
      <c r="B1006" t="s">
        <v>419</v>
      </c>
      <c r="C1006" t="s">
        <v>23</v>
      </c>
      <c r="D1006">
        <v>99</v>
      </c>
    </row>
    <row r="1007" spans="1:4" x14ac:dyDescent="0.25">
      <c r="A1007">
        <v>969</v>
      </c>
      <c r="B1007" t="s">
        <v>419</v>
      </c>
      <c r="C1007" t="s">
        <v>225</v>
      </c>
      <c r="D1007">
        <v>30</v>
      </c>
    </row>
    <row r="1008" spans="1:4" x14ac:dyDescent="0.25">
      <c r="A1008">
        <v>970</v>
      </c>
      <c r="B1008" t="s">
        <v>420</v>
      </c>
      <c r="C1008" t="s">
        <v>23</v>
      </c>
      <c r="D1008">
        <v>60</v>
      </c>
    </row>
    <row r="1009" spans="1:4" x14ac:dyDescent="0.25">
      <c r="A1009">
        <v>970</v>
      </c>
      <c r="B1009" t="s">
        <v>420</v>
      </c>
      <c r="C1009" t="s">
        <v>225</v>
      </c>
      <c r="D1009">
        <v>73</v>
      </c>
    </row>
    <row r="1010" spans="1:4" x14ac:dyDescent="0.25">
      <c r="A1010">
        <v>971</v>
      </c>
      <c r="B1010" t="s">
        <v>421</v>
      </c>
      <c r="C1010" t="s">
        <v>23</v>
      </c>
      <c r="D1010">
        <v>123</v>
      </c>
    </row>
    <row r="1011" spans="1:4" x14ac:dyDescent="0.25">
      <c r="A1011">
        <v>971</v>
      </c>
      <c r="B1011" t="s">
        <v>421</v>
      </c>
      <c r="C1011" t="s">
        <v>225</v>
      </c>
      <c r="D1011">
        <v>104</v>
      </c>
    </row>
    <row r="1012" spans="1:4" x14ac:dyDescent="0.25">
      <c r="A1012">
        <v>972</v>
      </c>
      <c r="B1012" t="s">
        <v>422</v>
      </c>
      <c r="C1012" t="s">
        <v>23</v>
      </c>
      <c r="D1012">
        <v>99</v>
      </c>
    </row>
    <row r="1013" spans="1:4" x14ac:dyDescent="0.25">
      <c r="A1013">
        <v>972</v>
      </c>
      <c r="B1013" t="s">
        <v>422</v>
      </c>
      <c r="C1013" t="s">
        <v>225</v>
      </c>
      <c r="D1013">
        <v>30</v>
      </c>
    </row>
    <row r="1014" spans="1:4" x14ac:dyDescent="0.25">
      <c r="A1014">
        <v>973</v>
      </c>
      <c r="B1014" t="s">
        <v>423</v>
      </c>
      <c r="C1014" t="s">
        <v>23</v>
      </c>
      <c r="D1014">
        <v>86</v>
      </c>
    </row>
    <row r="1015" spans="1:4" x14ac:dyDescent="0.25">
      <c r="A1015">
        <v>973</v>
      </c>
      <c r="B1015" t="s">
        <v>423</v>
      </c>
      <c r="C1015" t="s">
        <v>225</v>
      </c>
      <c r="D1015">
        <v>99</v>
      </c>
    </row>
    <row r="1016" spans="1:4" x14ac:dyDescent="0.25">
      <c r="A1016">
        <v>974</v>
      </c>
      <c r="B1016" t="s">
        <v>424</v>
      </c>
      <c r="C1016" t="s">
        <v>23</v>
      </c>
      <c r="D1016">
        <v>81</v>
      </c>
    </row>
    <row r="1017" spans="1:4" x14ac:dyDescent="0.25">
      <c r="A1017">
        <v>974</v>
      </c>
      <c r="B1017" t="s">
        <v>424</v>
      </c>
      <c r="C1017" t="s">
        <v>225</v>
      </c>
      <c r="D1017">
        <v>67</v>
      </c>
    </row>
    <row r="1018" spans="1:4" x14ac:dyDescent="0.25">
      <c r="A1018">
        <v>975</v>
      </c>
      <c r="B1018" t="s">
        <v>425</v>
      </c>
      <c r="C1018" t="s">
        <v>23</v>
      </c>
      <c r="D1018">
        <v>60</v>
      </c>
    </row>
    <row r="1019" spans="1:4" x14ac:dyDescent="0.25">
      <c r="A1019">
        <v>975</v>
      </c>
      <c r="B1019" t="s">
        <v>425</v>
      </c>
      <c r="C1019" t="s">
        <v>225</v>
      </c>
      <c r="D1019">
        <v>73</v>
      </c>
    </row>
    <row r="1020" spans="1:4" x14ac:dyDescent="0.25">
      <c r="A1020">
        <v>976</v>
      </c>
      <c r="B1020" t="s">
        <v>426</v>
      </c>
      <c r="C1020" t="s">
        <v>23</v>
      </c>
      <c r="D1020">
        <v>123</v>
      </c>
    </row>
    <row r="1021" spans="1:4" x14ac:dyDescent="0.25">
      <c r="A1021">
        <v>976</v>
      </c>
      <c r="B1021" t="s">
        <v>426</v>
      </c>
      <c r="C1021" t="s">
        <v>225</v>
      </c>
      <c r="D1021">
        <v>104</v>
      </c>
    </row>
    <row r="1022" spans="1:4" x14ac:dyDescent="0.25">
      <c r="A1022">
        <v>977</v>
      </c>
      <c r="B1022" t="s">
        <v>427</v>
      </c>
      <c r="C1022" t="s">
        <v>23</v>
      </c>
      <c r="D1022">
        <v>65</v>
      </c>
    </row>
    <row r="1023" spans="1:4" x14ac:dyDescent="0.25">
      <c r="A1023">
        <v>977</v>
      </c>
      <c r="B1023" t="s">
        <v>427</v>
      </c>
      <c r="C1023" t="s">
        <v>225</v>
      </c>
      <c r="D1023">
        <v>88</v>
      </c>
    </row>
    <row r="1024" spans="1:4" x14ac:dyDescent="0.25">
      <c r="A1024">
        <v>978</v>
      </c>
      <c r="B1024" t="s">
        <v>428</v>
      </c>
      <c r="C1024" t="s">
        <v>23</v>
      </c>
      <c r="D1024">
        <v>72</v>
      </c>
    </row>
    <row r="1025" spans="1:4" x14ac:dyDescent="0.25">
      <c r="A1025">
        <v>978</v>
      </c>
      <c r="B1025" t="s">
        <v>428</v>
      </c>
      <c r="C1025" t="s">
        <v>225</v>
      </c>
      <c r="D1025">
        <v>91</v>
      </c>
    </row>
    <row r="1026" spans="1:4" x14ac:dyDescent="0.25">
      <c r="A1026">
        <v>979</v>
      </c>
      <c r="B1026" t="s">
        <v>429</v>
      </c>
      <c r="C1026" t="s">
        <v>23</v>
      </c>
      <c r="D1026">
        <v>78</v>
      </c>
    </row>
    <row r="1027" spans="1:4" x14ac:dyDescent="0.25">
      <c r="A1027">
        <v>979</v>
      </c>
      <c r="B1027" t="s">
        <v>429</v>
      </c>
      <c r="C1027" t="s">
        <v>225</v>
      </c>
      <c r="D1027">
        <v>86</v>
      </c>
    </row>
    <row r="1028" spans="1:4" x14ac:dyDescent="0.25">
      <c r="A1028">
        <v>980</v>
      </c>
      <c r="B1028" t="s">
        <v>430</v>
      </c>
      <c r="C1028" t="s">
        <v>23</v>
      </c>
      <c r="D1028">
        <v>99</v>
      </c>
    </row>
    <row r="1029" spans="1:4" x14ac:dyDescent="0.25">
      <c r="A1029">
        <v>980</v>
      </c>
      <c r="B1029" t="s">
        <v>430</v>
      </c>
      <c r="C1029" t="s">
        <v>225</v>
      </c>
      <c r="D1029">
        <v>51</v>
      </c>
    </row>
    <row r="1030" spans="1:4" x14ac:dyDescent="0.25">
      <c r="A1030">
        <v>981</v>
      </c>
      <c r="B1030" t="s">
        <v>431</v>
      </c>
      <c r="C1030" t="s">
        <v>23</v>
      </c>
      <c r="D1030">
        <v>67</v>
      </c>
    </row>
    <row r="1031" spans="1:4" x14ac:dyDescent="0.25">
      <c r="A1031">
        <v>981</v>
      </c>
      <c r="B1031" t="s">
        <v>431</v>
      </c>
      <c r="C1031" t="s">
        <v>225</v>
      </c>
      <c r="D1031">
        <v>86</v>
      </c>
    </row>
    <row r="1032" spans="1:4" x14ac:dyDescent="0.25">
      <c r="A1032">
        <v>982</v>
      </c>
      <c r="B1032" t="s">
        <v>432</v>
      </c>
      <c r="C1032" t="s">
        <v>23</v>
      </c>
      <c r="D1032">
        <v>73</v>
      </c>
    </row>
    <row r="1033" spans="1:4" x14ac:dyDescent="0.25">
      <c r="A1033">
        <v>982</v>
      </c>
      <c r="B1033" t="s">
        <v>432</v>
      </c>
      <c r="C1033" t="s">
        <v>225</v>
      </c>
      <c r="D1033">
        <v>81</v>
      </c>
    </row>
    <row r="1034" spans="1:4" x14ac:dyDescent="0.25">
      <c r="A1034">
        <v>983</v>
      </c>
      <c r="B1034" t="s">
        <v>433</v>
      </c>
      <c r="C1034" t="s">
        <v>23</v>
      </c>
      <c r="D1034">
        <v>104</v>
      </c>
    </row>
    <row r="1035" spans="1:4" x14ac:dyDescent="0.25">
      <c r="A1035">
        <v>983</v>
      </c>
      <c r="B1035" t="s">
        <v>433</v>
      </c>
      <c r="C1035" t="s">
        <v>225</v>
      </c>
      <c r="D1035">
        <v>60</v>
      </c>
    </row>
    <row r="1036" spans="1:4" x14ac:dyDescent="0.25">
      <c r="A1036">
        <v>984</v>
      </c>
      <c r="B1036" t="s">
        <v>434</v>
      </c>
      <c r="C1036" t="s">
        <v>23</v>
      </c>
      <c r="D1036">
        <v>73</v>
      </c>
    </row>
    <row r="1037" spans="1:4" x14ac:dyDescent="0.25">
      <c r="A1037">
        <v>984</v>
      </c>
      <c r="B1037" t="s">
        <v>434</v>
      </c>
      <c r="C1037" t="s">
        <v>225</v>
      </c>
      <c r="D1037">
        <v>81</v>
      </c>
    </row>
    <row r="1038" spans="1:4" x14ac:dyDescent="0.25">
      <c r="A1038">
        <v>985</v>
      </c>
      <c r="B1038" t="s">
        <v>435</v>
      </c>
      <c r="C1038" t="s">
        <v>23</v>
      </c>
      <c r="D1038">
        <v>104</v>
      </c>
    </row>
    <row r="1039" spans="1:4" x14ac:dyDescent="0.25">
      <c r="A1039">
        <v>985</v>
      </c>
      <c r="B1039" t="s">
        <v>435</v>
      </c>
      <c r="C1039" t="s">
        <v>225</v>
      </c>
      <c r="D1039">
        <v>60</v>
      </c>
    </row>
    <row r="1040" spans="1:4" x14ac:dyDescent="0.25">
      <c r="A1040">
        <v>986</v>
      </c>
      <c r="B1040" t="s">
        <v>436</v>
      </c>
      <c r="C1040" t="s">
        <v>23</v>
      </c>
      <c r="D1040">
        <v>30</v>
      </c>
    </row>
    <row r="1041" spans="1:4" x14ac:dyDescent="0.25">
      <c r="A1041">
        <v>986</v>
      </c>
      <c r="B1041" t="s">
        <v>436</v>
      </c>
      <c r="C1041" t="s">
        <v>225</v>
      </c>
      <c r="D1041">
        <v>123</v>
      </c>
    </row>
    <row r="1042" spans="1:4" x14ac:dyDescent="0.25">
      <c r="A1042">
        <v>987</v>
      </c>
      <c r="B1042" t="s">
        <v>437</v>
      </c>
      <c r="C1042" t="s">
        <v>23</v>
      </c>
      <c r="D1042">
        <v>56</v>
      </c>
    </row>
    <row r="1043" spans="1:4" x14ac:dyDescent="0.25">
      <c r="A1043">
        <v>987</v>
      </c>
      <c r="B1043" t="s">
        <v>437</v>
      </c>
      <c r="C1043" t="s">
        <v>225</v>
      </c>
      <c r="D1043">
        <v>99</v>
      </c>
    </row>
    <row r="1044" spans="1:4" x14ac:dyDescent="0.25">
      <c r="A1044">
        <v>988</v>
      </c>
      <c r="B1044" t="s">
        <v>438</v>
      </c>
      <c r="C1044" t="s">
        <v>23</v>
      </c>
      <c r="D1044">
        <v>116</v>
      </c>
    </row>
    <row r="1045" spans="1:4" x14ac:dyDescent="0.25">
      <c r="A1045">
        <v>988</v>
      </c>
      <c r="B1045" t="s">
        <v>438</v>
      </c>
      <c r="C1045" t="s">
        <v>225</v>
      </c>
      <c r="D1045">
        <v>78</v>
      </c>
    </row>
    <row r="1046" spans="1:4" x14ac:dyDescent="0.25">
      <c r="A1046">
        <v>989</v>
      </c>
      <c r="B1046" t="s">
        <v>439</v>
      </c>
      <c r="C1046" t="s">
        <v>23</v>
      </c>
      <c r="D1046">
        <v>99</v>
      </c>
    </row>
    <row r="1047" spans="1:4" x14ac:dyDescent="0.25">
      <c r="A1047">
        <v>989</v>
      </c>
      <c r="B1047" t="s">
        <v>439</v>
      </c>
      <c r="C1047" t="s">
        <v>225</v>
      </c>
      <c r="D1047">
        <v>51</v>
      </c>
    </row>
    <row r="1048" spans="1:4" x14ac:dyDescent="0.25">
      <c r="A1048">
        <v>990</v>
      </c>
      <c r="B1048" t="s">
        <v>440</v>
      </c>
      <c r="C1048" t="s">
        <v>23</v>
      </c>
      <c r="D1048">
        <v>67</v>
      </c>
    </row>
    <row r="1049" spans="1:4" x14ac:dyDescent="0.25">
      <c r="A1049">
        <v>990</v>
      </c>
      <c r="B1049" t="s">
        <v>440</v>
      </c>
      <c r="C1049" t="s">
        <v>225</v>
      </c>
      <c r="D1049">
        <v>86</v>
      </c>
    </row>
    <row r="1050" spans="1:4" x14ac:dyDescent="0.25">
      <c r="A1050">
        <v>991</v>
      </c>
      <c r="B1050" t="s">
        <v>441</v>
      </c>
      <c r="C1050" t="s">
        <v>23</v>
      </c>
      <c r="D1050">
        <v>73</v>
      </c>
    </row>
    <row r="1051" spans="1:4" x14ac:dyDescent="0.25">
      <c r="A1051">
        <v>991</v>
      </c>
      <c r="B1051" t="s">
        <v>441</v>
      </c>
      <c r="C1051" t="s">
        <v>225</v>
      </c>
      <c r="D1051">
        <v>81</v>
      </c>
    </row>
    <row r="1052" spans="1:4" x14ac:dyDescent="0.25">
      <c r="A1052">
        <v>992</v>
      </c>
      <c r="B1052" t="s">
        <v>442</v>
      </c>
      <c r="C1052" t="s">
        <v>23</v>
      </c>
      <c r="D1052">
        <v>104</v>
      </c>
    </row>
    <row r="1053" spans="1:4" x14ac:dyDescent="0.25">
      <c r="A1053">
        <v>992</v>
      </c>
      <c r="B1053" t="s">
        <v>442</v>
      </c>
      <c r="C1053" t="s">
        <v>225</v>
      </c>
      <c r="D1053">
        <v>60</v>
      </c>
    </row>
    <row r="1054" spans="1:4" x14ac:dyDescent="0.25">
      <c r="A1054">
        <v>993</v>
      </c>
      <c r="B1054" t="s">
        <v>443</v>
      </c>
      <c r="C1054" t="s">
        <v>23</v>
      </c>
      <c r="D1054">
        <v>30</v>
      </c>
    </row>
    <row r="1055" spans="1:4" x14ac:dyDescent="0.25">
      <c r="A1055">
        <v>993</v>
      </c>
      <c r="B1055" t="s">
        <v>443</v>
      </c>
      <c r="C1055" t="s">
        <v>225</v>
      </c>
      <c r="D1055">
        <v>123</v>
      </c>
    </row>
    <row r="1056" spans="1:4" x14ac:dyDescent="0.25">
      <c r="A1056">
        <v>994</v>
      </c>
      <c r="B1056" t="s">
        <v>444</v>
      </c>
      <c r="C1056" t="s">
        <v>5</v>
      </c>
      <c r="D1056">
        <v>358</v>
      </c>
    </row>
    <row r="1057" spans="1:4" x14ac:dyDescent="0.25">
      <c r="A1057">
        <v>994</v>
      </c>
      <c r="B1057" t="s">
        <v>444</v>
      </c>
      <c r="C1057" t="s">
        <v>6</v>
      </c>
      <c r="D1057">
        <v>212</v>
      </c>
    </row>
    <row r="1058" spans="1:4" x14ac:dyDescent="0.25">
      <c r="A1058">
        <v>994</v>
      </c>
      <c r="B1058" t="s">
        <v>444</v>
      </c>
      <c r="C1058" t="s">
        <v>7</v>
      </c>
      <c r="D1058">
        <v>244</v>
      </c>
    </row>
    <row r="1059" spans="1:4" x14ac:dyDescent="0.25">
      <c r="A1059">
        <v>995</v>
      </c>
      <c r="B1059" t="s">
        <v>445</v>
      </c>
      <c r="C1059" t="s">
        <v>5</v>
      </c>
      <c r="D1059">
        <v>321</v>
      </c>
    </row>
    <row r="1060" spans="1:4" x14ac:dyDescent="0.25">
      <c r="A1060">
        <v>995</v>
      </c>
      <c r="B1060" t="s">
        <v>445</v>
      </c>
      <c r="C1060" t="s">
        <v>6</v>
      </c>
      <c r="D1060">
        <v>265</v>
      </c>
    </row>
    <row r="1061" spans="1:4" x14ac:dyDescent="0.25">
      <c r="A1061">
        <v>995</v>
      </c>
      <c r="B1061" t="s">
        <v>445</v>
      </c>
      <c r="C1061" t="s">
        <v>7</v>
      </c>
      <c r="D1061">
        <v>230</v>
      </c>
    </row>
    <row r="1062" spans="1:4" x14ac:dyDescent="0.25">
      <c r="A1062">
        <v>996</v>
      </c>
      <c r="B1062" t="s">
        <v>446</v>
      </c>
      <c r="C1062" t="s">
        <v>5</v>
      </c>
      <c r="D1062">
        <v>475</v>
      </c>
    </row>
    <row r="1063" spans="1:4" x14ac:dyDescent="0.25">
      <c r="A1063">
        <v>996</v>
      </c>
      <c r="B1063" t="s">
        <v>446</v>
      </c>
      <c r="C1063" t="s">
        <v>6</v>
      </c>
      <c r="D1063">
        <v>174</v>
      </c>
    </row>
    <row r="1064" spans="1:4" x14ac:dyDescent="0.25">
      <c r="A1064">
        <v>996</v>
      </c>
      <c r="B1064" t="s">
        <v>446</v>
      </c>
      <c r="C1064" t="s">
        <v>7</v>
      </c>
      <c r="D1064">
        <v>321</v>
      </c>
    </row>
    <row r="1065" spans="1:4" x14ac:dyDescent="0.25">
      <c r="A1065">
        <v>997</v>
      </c>
      <c r="B1065" t="s">
        <v>447</v>
      </c>
      <c r="C1065" t="s">
        <v>23</v>
      </c>
      <c r="D1065">
        <v>30</v>
      </c>
    </row>
    <row r="1066" spans="1:4" x14ac:dyDescent="0.25">
      <c r="A1066">
        <v>997</v>
      </c>
      <c r="B1066" t="s">
        <v>447</v>
      </c>
      <c r="C1066" t="s">
        <v>225</v>
      </c>
      <c r="D1066">
        <v>123</v>
      </c>
    </row>
    <row r="1067" spans="1:4" x14ac:dyDescent="0.25">
      <c r="A1067">
        <v>998</v>
      </c>
      <c r="B1067" t="s">
        <v>448</v>
      </c>
      <c r="C1067" t="s">
        <v>23</v>
      </c>
      <c r="D1067">
        <v>56</v>
      </c>
    </row>
    <row r="1068" spans="1:4" x14ac:dyDescent="0.25">
      <c r="A1068">
        <v>998</v>
      </c>
      <c r="B1068" t="s">
        <v>448</v>
      </c>
      <c r="C1068" t="s">
        <v>225</v>
      </c>
      <c r="D1068">
        <v>99</v>
      </c>
    </row>
    <row r="1069" spans="1:4" x14ac:dyDescent="0.25">
      <c r="A1069">
        <v>999</v>
      </c>
      <c r="B1069" t="s">
        <v>449</v>
      </c>
      <c r="C1069" t="s">
        <v>23</v>
      </c>
      <c r="D1069">
        <v>116</v>
      </c>
    </row>
    <row r="1070" spans="1:4" x14ac:dyDescent="0.25">
      <c r="A1070">
        <v>999</v>
      </c>
      <c r="B1070" t="s">
        <v>449</v>
      </c>
      <c r="C1070" t="s">
        <v>225</v>
      </c>
      <c r="D1070">
        <v>78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0"/>
  <sheetViews>
    <sheetView workbookViewId="0">
      <selection activeCell="G2" sqref="G2"/>
    </sheetView>
  </sheetViews>
  <sheetFormatPr defaultRowHeight="15" x14ac:dyDescent="0.25"/>
  <cols>
    <col min="6" max="6" width="15.42578125" bestFit="1" customWidth="1"/>
    <col min="7" max="7" width="14.42578125" customWidth="1"/>
    <col min="8" max="8" width="24.5703125" customWidth="1"/>
    <col min="9" max="9" width="12.42578125" customWidth="1"/>
  </cols>
  <sheetData>
    <row r="1" spans="1:9" x14ac:dyDescent="0.25">
      <c r="A1" t="s">
        <v>0</v>
      </c>
      <c r="B1" t="s">
        <v>1</v>
      </c>
      <c r="C1" t="s">
        <v>450</v>
      </c>
      <c r="D1" t="s">
        <v>451</v>
      </c>
      <c r="E1" t="s">
        <v>452</v>
      </c>
      <c r="F1" t="s">
        <v>453</v>
      </c>
      <c r="G1" t="s">
        <v>454</v>
      </c>
      <c r="H1" t="s">
        <v>455</v>
      </c>
      <c r="I1" t="s">
        <v>456</v>
      </c>
    </row>
    <row r="2" spans="1:9" x14ac:dyDescent="0.25">
      <c r="A2">
        <v>747</v>
      </c>
      <c r="B2" t="s">
        <v>235</v>
      </c>
      <c r="C2" t="s">
        <v>457</v>
      </c>
      <c r="D2">
        <v>834</v>
      </c>
      <c r="E2">
        <v>739.04100000000005</v>
      </c>
      <c r="F2">
        <v>616360.19400000002</v>
      </c>
      <c r="G2">
        <f>F2/(SUM(F2:F220))</f>
        <v>3.2058957390340551E-2</v>
      </c>
      <c r="H2">
        <f>G2</f>
        <v>3.2058957390340551E-2</v>
      </c>
      <c r="I2" t="str">
        <f t="shared" ref="I2:I65" si="0">IF(H2&lt;=0.8,"A",IF(H2&lt;=0.95,"B","C"))</f>
        <v>A</v>
      </c>
    </row>
    <row r="3" spans="1:9" x14ac:dyDescent="0.25">
      <c r="A3">
        <v>748</v>
      </c>
      <c r="B3" t="s">
        <v>237</v>
      </c>
      <c r="C3" t="s">
        <v>457</v>
      </c>
      <c r="D3">
        <v>738</v>
      </c>
      <c r="E3">
        <v>747.2002</v>
      </c>
      <c r="F3">
        <v>551433.7476</v>
      </c>
      <c r="G3">
        <f>F3/(SUM(F2:F220))</f>
        <v>2.8681915526011733E-2</v>
      </c>
      <c r="H3">
        <f t="shared" ref="H3:H66" si="1">H2+G3</f>
        <v>6.0740872916352287E-2</v>
      </c>
      <c r="I3" t="str">
        <f t="shared" si="0"/>
        <v>A</v>
      </c>
    </row>
    <row r="4" spans="1:9" x14ac:dyDescent="0.25">
      <c r="A4">
        <v>750</v>
      </c>
      <c r="B4" t="s">
        <v>240</v>
      </c>
      <c r="C4" t="s">
        <v>458</v>
      </c>
      <c r="D4">
        <v>223</v>
      </c>
      <c r="E4">
        <v>2171.2941999999998</v>
      </c>
      <c r="F4">
        <v>484198.6066</v>
      </c>
      <c r="G4">
        <f>F4/(SUM(F2:F220))</f>
        <v>2.5184790725553678E-2</v>
      </c>
      <c r="H4">
        <f t="shared" si="1"/>
        <v>8.5925663641905958E-2</v>
      </c>
      <c r="I4" t="str">
        <f t="shared" si="0"/>
        <v>A</v>
      </c>
    </row>
    <row r="5" spans="1:9" x14ac:dyDescent="0.25">
      <c r="A5">
        <v>776</v>
      </c>
      <c r="B5" t="s">
        <v>266</v>
      </c>
      <c r="C5" t="s">
        <v>458</v>
      </c>
      <c r="D5">
        <v>194</v>
      </c>
      <c r="E5">
        <v>1898.0944</v>
      </c>
      <c r="F5">
        <v>368230.31359999999</v>
      </c>
      <c r="G5">
        <f>F5/(SUM(F2:F220))</f>
        <v>1.9152891520983161E-2</v>
      </c>
      <c r="H5">
        <f t="shared" si="1"/>
        <v>0.10507855516288912</v>
      </c>
      <c r="I5" t="str">
        <f t="shared" si="0"/>
        <v>A</v>
      </c>
    </row>
    <row r="6" spans="1:9" x14ac:dyDescent="0.25">
      <c r="A6">
        <v>753</v>
      </c>
      <c r="B6" t="s">
        <v>243</v>
      </c>
      <c r="C6" t="s">
        <v>458</v>
      </c>
      <c r="D6">
        <v>163</v>
      </c>
      <c r="E6">
        <v>2171.2941999999998</v>
      </c>
      <c r="F6">
        <v>353920.9546</v>
      </c>
      <c r="G6">
        <f>F6/(SUM(F2:F220))</f>
        <v>1.8408613848723093E-2</v>
      </c>
      <c r="H6">
        <f t="shared" si="1"/>
        <v>0.12348716901161222</v>
      </c>
      <c r="I6" t="str">
        <f t="shared" si="0"/>
        <v>A</v>
      </c>
    </row>
    <row r="7" spans="1:9" x14ac:dyDescent="0.25">
      <c r="A7">
        <v>792</v>
      </c>
      <c r="B7" t="s">
        <v>282</v>
      </c>
      <c r="C7" t="s">
        <v>458</v>
      </c>
      <c r="D7">
        <v>227</v>
      </c>
      <c r="E7">
        <v>1554.9478999999999</v>
      </c>
      <c r="F7">
        <v>352973.17330000002</v>
      </c>
      <c r="G7">
        <f>F7/(SUM(F2:F220))</f>
        <v>1.8359316569943825E-2</v>
      </c>
      <c r="H7">
        <f t="shared" si="1"/>
        <v>0.14184648558155605</v>
      </c>
      <c r="I7" t="str">
        <f t="shared" si="0"/>
        <v>A</v>
      </c>
    </row>
    <row r="8" spans="1:9" x14ac:dyDescent="0.25">
      <c r="A8">
        <v>774</v>
      </c>
      <c r="B8" t="s">
        <v>264</v>
      </c>
      <c r="C8" t="s">
        <v>458</v>
      </c>
      <c r="D8">
        <v>164</v>
      </c>
      <c r="E8">
        <v>1912.1543999999999</v>
      </c>
      <c r="F8">
        <v>313593.32160000002</v>
      </c>
      <c r="G8">
        <f>F8/(SUM(F2:F220))</f>
        <v>1.6311038631202975E-2</v>
      </c>
      <c r="H8">
        <f t="shared" si="1"/>
        <v>0.15815752421275903</v>
      </c>
      <c r="I8" t="str">
        <f t="shared" si="0"/>
        <v>A</v>
      </c>
    </row>
    <row r="9" spans="1:9" x14ac:dyDescent="0.25">
      <c r="A9">
        <v>751</v>
      </c>
      <c r="B9" t="s">
        <v>241</v>
      </c>
      <c r="C9" t="s">
        <v>458</v>
      </c>
      <c r="D9">
        <v>140</v>
      </c>
      <c r="E9">
        <v>2171.2941999999998</v>
      </c>
      <c r="F9">
        <v>303981.18800000002</v>
      </c>
      <c r="G9">
        <f>F9/(SUM(F2:F220))</f>
        <v>1.5811079379271367E-2</v>
      </c>
      <c r="H9">
        <f t="shared" si="1"/>
        <v>0.1739686035920304</v>
      </c>
      <c r="I9" t="str">
        <f t="shared" si="0"/>
        <v>A</v>
      </c>
    </row>
    <row r="10" spans="1:9" x14ac:dyDescent="0.25">
      <c r="A10">
        <v>773</v>
      </c>
      <c r="B10" t="s">
        <v>263</v>
      </c>
      <c r="C10" t="s">
        <v>458</v>
      </c>
      <c r="D10">
        <v>158</v>
      </c>
      <c r="E10">
        <v>1912.1543999999999</v>
      </c>
      <c r="F10">
        <v>302120.39520000003</v>
      </c>
      <c r="G10">
        <f>F10/(SUM(F2:F220))</f>
        <v>1.5714293315427258E-2</v>
      </c>
      <c r="H10">
        <f t="shared" si="1"/>
        <v>0.18968289690745765</v>
      </c>
      <c r="I10" t="str">
        <f t="shared" si="0"/>
        <v>A</v>
      </c>
    </row>
    <row r="11" spans="1:9" x14ac:dyDescent="0.25">
      <c r="A11">
        <v>775</v>
      </c>
      <c r="B11" t="s">
        <v>265</v>
      </c>
      <c r="C11" t="s">
        <v>458</v>
      </c>
      <c r="D11">
        <v>155</v>
      </c>
      <c r="E11">
        <v>1898.0944</v>
      </c>
      <c r="F11">
        <v>294204.63199999998</v>
      </c>
      <c r="G11">
        <f>F11/(SUM(F2:F220))</f>
        <v>1.5302567967795826E-2</v>
      </c>
      <c r="H11">
        <f t="shared" si="1"/>
        <v>0.20498546487525349</v>
      </c>
      <c r="I11" t="str">
        <f t="shared" si="0"/>
        <v>A</v>
      </c>
    </row>
    <row r="12" spans="1:9" x14ac:dyDescent="0.25">
      <c r="A12">
        <v>772</v>
      </c>
      <c r="B12" t="s">
        <v>262</v>
      </c>
      <c r="C12" t="s">
        <v>458</v>
      </c>
      <c r="D12">
        <v>153</v>
      </c>
      <c r="E12">
        <v>1912.1543999999999</v>
      </c>
      <c r="F12">
        <v>292559.62319999997</v>
      </c>
      <c r="G12">
        <f>F12/(SUM(F2:F220))</f>
        <v>1.5217005552280822E-2</v>
      </c>
      <c r="H12">
        <f t="shared" si="1"/>
        <v>0.2202024704275343</v>
      </c>
      <c r="I12" t="str">
        <f t="shared" si="0"/>
        <v>A</v>
      </c>
    </row>
    <row r="13" spans="1:9" x14ac:dyDescent="0.25">
      <c r="A13">
        <v>795</v>
      </c>
      <c r="B13" t="s">
        <v>285</v>
      </c>
      <c r="C13" t="s">
        <v>458</v>
      </c>
      <c r="D13">
        <v>188</v>
      </c>
      <c r="E13">
        <v>1554.9478999999999</v>
      </c>
      <c r="F13">
        <v>292330.20520000003</v>
      </c>
      <c r="G13">
        <f>F13/(SUM(F2:F220))</f>
        <v>1.5205072753962287E-2</v>
      </c>
      <c r="H13">
        <f t="shared" si="1"/>
        <v>0.23540754318149659</v>
      </c>
      <c r="I13" t="str">
        <f t="shared" si="0"/>
        <v>A</v>
      </c>
    </row>
    <row r="14" spans="1:9" x14ac:dyDescent="0.25">
      <c r="A14">
        <v>778</v>
      </c>
      <c r="B14" t="s">
        <v>268</v>
      </c>
      <c r="C14" t="s">
        <v>458</v>
      </c>
      <c r="D14">
        <v>153</v>
      </c>
      <c r="E14">
        <v>1898.0944</v>
      </c>
      <c r="F14">
        <v>290408.44319999998</v>
      </c>
      <c r="G14">
        <f>F14/(SUM(F2:F220))</f>
        <v>1.5105115477888781E-2</v>
      </c>
      <c r="H14">
        <f t="shared" si="1"/>
        <v>0.25051265865938538</v>
      </c>
      <c r="I14" t="str">
        <f t="shared" si="0"/>
        <v>A</v>
      </c>
    </row>
    <row r="15" spans="1:9" x14ac:dyDescent="0.25">
      <c r="A15">
        <v>749</v>
      </c>
      <c r="B15" t="s">
        <v>239</v>
      </c>
      <c r="C15" t="s">
        <v>458</v>
      </c>
      <c r="D15">
        <v>133</v>
      </c>
      <c r="E15">
        <v>2171.2941999999998</v>
      </c>
      <c r="F15">
        <v>288782.1286</v>
      </c>
      <c r="G15">
        <f>F15/(SUM(F2:F220))</f>
        <v>1.5020525410307798E-2</v>
      </c>
      <c r="H15">
        <f t="shared" si="1"/>
        <v>0.26553318406969317</v>
      </c>
      <c r="I15" t="str">
        <f t="shared" si="0"/>
        <v>A</v>
      </c>
    </row>
    <row r="16" spans="1:9" x14ac:dyDescent="0.25">
      <c r="A16">
        <v>822</v>
      </c>
      <c r="B16" t="s">
        <v>312</v>
      </c>
      <c r="C16" t="s">
        <v>457</v>
      </c>
      <c r="D16">
        <v>796</v>
      </c>
      <c r="E16">
        <v>360.94279999999998</v>
      </c>
      <c r="F16">
        <v>287310.46879999997</v>
      </c>
      <c r="G16">
        <f>F16/(SUM(F2:F220))</f>
        <v>1.4943979456690817E-2</v>
      </c>
      <c r="H16">
        <f t="shared" si="1"/>
        <v>0.28047716352638397</v>
      </c>
      <c r="I16" t="str">
        <f t="shared" si="0"/>
        <v>A</v>
      </c>
    </row>
    <row r="17" spans="1:9" x14ac:dyDescent="0.25">
      <c r="A17">
        <v>771</v>
      </c>
      <c r="B17" t="s">
        <v>261</v>
      </c>
      <c r="C17" t="s">
        <v>458</v>
      </c>
      <c r="D17">
        <v>149</v>
      </c>
      <c r="E17">
        <v>1912.1543999999999</v>
      </c>
      <c r="F17">
        <v>284911.00559999997</v>
      </c>
      <c r="G17">
        <f>F17/(SUM(F2:F220))</f>
        <v>1.4819175341763677E-2</v>
      </c>
      <c r="H17">
        <f t="shared" si="1"/>
        <v>0.29529633886814766</v>
      </c>
      <c r="I17" t="str">
        <f t="shared" si="0"/>
        <v>A</v>
      </c>
    </row>
    <row r="18" spans="1:9" x14ac:dyDescent="0.25">
      <c r="A18">
        <v>777</v>
      </c>
      <c r="B18" t="s">
        <v>267</v>
      </c>
      <c r="C18" t="s">
        <v>458</v>
      </c>
      <c r="D18">
        <v>149</v>
      </c>
      <c r="E18">
        <v>1898.0944</v>
      </c>
      <c r="F18">
        <v>282816.06559999997</v>
      </c>
      <c r="G18">
        <f>F18/(SUM(F2:F220))</f>
        <v>1.4710210498074696E-2</v>
      </c>
      <c r="H18">
        <f t="shared" si="1"/>
        <v>0.31000654936622235</v>
      </c>
      <c r="I18" t="str">
        <f t="shared" si="0"/>
        <v>A</v>
      </c>
    </row>
    <row r="19" spans="1:9" x14ac:dyDescent="0.25">
      <c r="A19">
        <v>780</v>
      </c>
      <c r="B19" t="s">
        <v>270</v>
      </c>
      <c r="C19" t="s">
        <v>458</v>
      </c>
      <c r="D19">
        <v>223</v>
      </c>
      <c r="E19">
        <v>1265.6195</v>
      </c>
      <c r="F19">
        <v>282233.14850000001</v>
      </c>
      <c r="G19">
        <f>F19/(SUM(F2:F220))</f>
        <v>1.4679891027977638E-2</v>
      </c>
      <c r="H19">
        <f t="shared" si="1"/>
        <v>0.32468644039419997</v>
      </c>
      <c r="I19" t="str">
        <f t="shared" si="0"/>
        <v>A</v>
      </c>
    </row>
    <row r="20" spans="1:9" x14ac:dyDescent="0.25">
      <c r="A20">
        <v>790</v>
      </c>
      <c r="B20" t="s">
        <v>280</v>
      </c>
      <c r="C20" t="s">
        <v>458</v>
      </c>
      <c r="D20">
        <v>185</v>
      </c>
      <c r="E20">
        <v>1518.7864</v>
      </c>
      <c r="F20">
        <v>280975.484</v>
      </c>
      <c r="G20">
        <f>F20/(SUM(F2:F220))</f>
        <v>1.461447568641383E-2</v>
      </c>
      <c r="H20">
        <f t="shared" si="1"/>
        <v>0.3393009160806138</v>
      </c>
      <c r="I20" t="str">
        <f t="shared" si="0"/>
        <v>A</v>
      </c>
    </row>
    <row r="21" spans="1:9" x14ac:dyDescent="0.25">
      <c r="A21">
        <v>752</v>
      </c>
      <c r="B21" t="s">
        <v>242</v>
      </c>
      <c r="C21" t="s">
        <v>458</v>
      </c>
      <c r="D21">
        <v>128</v>
      </c>
      <c r="E21">
        <v>2171.2941999999998</v>
      </c>
      <c r="F21">
        <v>277925.65759999998</v>
      </c>
      <c r="G21">
        <f>F21/(SUM(F2:F220))</f>
        <v>1.4455844003905248E-2</v>
      </c>
      <c r="H21">
        <f t="shared" si="1"/>
        <v>0.35375676008451906</v>
      </c>
      <c r="I21" t="str">
        <f t="shared" si="0"/>
        <v>A</v>
      </c>
    </row>
    <row r="22" spans="1:9" x14ac:dyDescent="0.25">
      <c r="A22">
        <v>966</v>
      </c>
      <c r="B22" t="s">
        <v>416</v>
      </c>
      <c r="C22" t="s">
        <v>458</v>
      </c>
      <c r="D22">
        <v>185</v>
      </c>
      <c r="E22">
        <v>1481.9378999999999</v>
      </c>
      <c r="F22">
        <v>274158.51150000002</v>
      </c>
      <c r="G22">
        <f>F22/(SUM(F2:F220))</f>
        <v>1.4259902122066126E-2</v>
      </c>
      <c r="H22">
        <f t="shared" si="1"/>
        <v>0.36801666220658519</v>
      </c>
      <c r="I22" t="str">
        <f t="shared" si="0"/>
        <v>A</v>
      </c>
    </row>
    <row r="23" spans="1:9" x14ac:dyDescent="0.25">
      <c r="A23">
        <v>794</v>
      </c>
      <c r="B23" t="s">
        <v>284</v>
      </c>
      <c r="C23" t="s">
        <v>458</v>
      </c>
      <c r="D23">
        <v>165</v>
      </c>
      <c r="E23">
        <v>1554.9478999999999</v>
      </c>
      <c r="F23">
        <v>256566.40349999999</v>
      </c>
      <c r="G23">
        <f>F23/(SUM(F2:F220))</f>
        <v>1.3344877682998814E-2</v>
      </c>
      <c r="H23">
        <f t="shared" si="1"/>
        <v>0.38136153988958399</v>
      </c>
      <c r="I23" t="str">
        <f t="shared" si="0"/>
        <v>A</v>
      </c>
    </row>
    <row r="24" spans="1:9" x14ac:dyDescent="0.25">
      <c r="A24">
        <v>789</v>
      </c>
      <c r="B24" t="s">
        <v>279</v>
      </c>
      <c r="C24" t="s">
        <v>458</v>
      </c>
      <c r="D24">
        <v>163</v>
      </c>
      <c r="E24">
        <v>1518.7864</v>
      </c>
      <c r="F24">
        <v>247562.1832</v>
      </c>
      <c r="G24">
        <f>F24/(SUM(F2:F220))</f>
        <v>1.2876538037218672E-2</v>
      </c>
      <c r="H24">
        <f t="shared" si="1"/>
        <v>0.39423807792680265</v>
      </c>
      <c r="I24" t="str">
        <f t="shared" si="0"/>
        <v>A</v>
      </c>
    </row>
    <row r="25" spans="1:9" x14ac:dyDescent="0.25">
      <c r="A25">
        <v>976</v>
      </c>
      <c r="B25" t="s">
        <v>426</v>
      </c>
      <c r="C25" t="s">
        <v>458</v>
      </c>
      <c r="D25">
        <v>227</v>
      </c>
      <c r="E25">
        <v>1082.51</v>
      </c>
      <c r="F25">
        <v>245729.77</v>
      </c>
      <c r="G25">
        <f>F25/(SUM(F2:F220))</f>
        <v>1.2781228091391286E-2</v>
      </c>
      <c r="H25">
        <f t="shared" si="1"/>
        <v>0.40701930601819392</v>
      </c>
      <c r="I25" t="str">
        <f t="shared" si="0"/>
        <v>A</v>
      </c>
    </row>
    <row r="26" spans="1:9" x14ac:dyDescent="0.25">
      <c r="A26">
        <v>782</v>
      </c>
      <c r="B26" t="s">
        <v>272</v>
      </c>
      <c r="C26" t="s">
        <v>458</v>
      </c>
      <c r="D26">
        <v>188</v>
      </c>
      <c r="E26">
        <v>1251.9812999999999</v>
      </c>
      <c r="F26">
        <v>235372.48439999999</v>
      </c>
      <c r="G26">
        <f>F26/(SUM(F2:F220))</f>
        <v>1.2242510989017883E-2</v>
      </c>
      <c r="H26">
        <f t="shared" si="1"/>
        <v>0.41926181700721182</v>
      </c>
      <c r="I26" t="str">
        <f t="shared" si="0"/>
        <v>A</v>
      </c>
    </row>
    <row r="27" spans="1:9" x14ac:dyDescent="0.25">
      <c r="A27">
        <v>796</v>
      </c>
      <c r="B27" t="s">
        <v>286</v>
      </c>
      <c r="C27" t="s">
        <v>458</v>
      </c>
      <c r="D27">
        <v>148</v>
      </c>
      <c r="E27">
        <v>1554.9478999999999</v>
      </c>
      <c r="F27">
        <v>230132.2892</v>
      </c>
      <c r="G27">
        <f>F27/(SUM(F2:F220))</f>
        <v>1.1969950891417119E-2</v>
      </c>
      <c r="H27">
        <f t="shared" si="1"/>
        <v>0.43123176789862894</v>
      </c>
      <c r="I27" t="str">
        <f t="shared" si="0"/>
        <v>A</v>
      </c>
    </row>
    <row r="28" spans="1:9" x14ac:dyDescent="0.25">
      <c r="A28">
        <v>791</v>
      </c>
      <c r="B28" t="s">
        <v>281</v>
      </c>
      <c r="C28" t="s">
        <v>458</v>
      </c>
      <c r="D28">
        <v>148</v>
      </c>
      <c r="E28">
        <v>1518.7864</v>
      </c>
      <c r="F28">
        <v>224780.3872</v>
      </c>
      <c r="G28">
        <f>F28/(SUM(F2:F220))</f>
        <v>1.1691580549131065E-2</v>
      </c>
      <c r="H28">
        <f t="shared" si="1"/>
        <v>0.44292334844775999</v>
      </c>
      <c r="I28" t="str">
        <f t="shared" si="0"/>
        <v>A</v>
      </c>
    </row>
    <row r="29" spans="1:9" x14ac:dyDescent="0.25">
      <c r="A29">
        <v>957</v>
      </c>
      <c r="B29" t="s">
        <v>407</v>
      </c>
      <c r="C29" t="s">
        <v>458</v>
      </c>
      <c r="D29">
        <v>151</v>
      </c>
      <c r="E29">
        <v>1481.9378999999999</v>
      </c>
      <c r="F29">
        <v>223772.62289999999</v>
      </c>
      <c r="G29">
        <f>F29/(SUM(F2:F220))</f>
        <v>1.1639163353686404E-2</v>
      </c>
      <c r="H29">
        <f t="shared" si="1"/>
        <v>0.45456251180144641</v>
      </c>
      <c r="I29" t="str">
        <f t="shared" si="0"/>
        <v>A</v>
      </c>
    </row>
    <row r="30" spans="1:9" x14ac:dyDescent="0.25">
      <c r="A30">
        <v>954</v>
      </c>
      <c r="B30" t="s">
        <v>404</v>
      </c>
      <c r="C30" t="s">
        <v>458</v>
      </c>
      <c r="D30">
        <v>148</v>
      </c>
      <c r="E30">
        <v>1481.9378999999999</v>
      </c>
      <c r="F30">
        <v>219326.80919999999</v>
      </c>
      <c r="G30">
        <f>F30/(SUM(F2:F220))</f>
        <v>1.14079216976529E-2</v>
      </c>
      <c r="H30">
        <f t="shared" si="1"/>
        <v>0.46597043349909933</v>
      </c>
      <c r="I30" t="str">
        <f t="shared" si="0"/>
        <v>A</v>
      </c>
    </row>
    <row r="31" spans="1:9" x14ac:dyDescent="0.25">
      <c r="A31">
        <v>967</v>
      </c>
      <c r="B31" t="s">
        <v>417</v>
      </c>
      <c r="C31" t="s">
        <v>458</v>
      </c>
      <c r="D31">
        <v>148</v>
      </c>
      <c r="E31">
        <v>1481.9378999999999</v>
      </c>
      <c r="F31">
        <v>219326.80919999999</v>
      </c>
      <c r="G31">
        <f>F31/(SUM(F2:F220))</f>
        <v>1.14079216976529E-2</v>
      </c>
      <c r="H31">
        <f t="shared" si="1"/>
        <v>0.47737835519675226</v>
      </c>
      <c r="I31" t="str">
        <f t="shared" si="0"/>
        <v>A</v>
      </c>
    </row>
    <row r="32" spans="1:9" x14ac:dyDescent="0.25">
      <c r="A32">
        <v>793</v>
      </c>
      <c r="B32" t="s">
        <v>283</v>
      </c>
      <c r="C32" t="s">
        <v>458</v>
      </c>
      <c r="D32">
        <v>134</v>
      </c>
      <c r="E32">
        <v>1554.9478999999999</v>
      </c>
      <c r="F32">
        <v>208363.01860000001</v>
      </c>
      <c r="G32">
        <f>F32/(SUM(F2:F220))</f>
        <v>1.083765823952631E-2</v>
      </c>
      <c r="H32">
        <f t="shared" si="1"/>
        <v>0.48821601343627857</v>
      </c>
      <c r="I32" t="str">
        <f t="shared" si="0"/>
        <v>A</v>
      </c>
    </row>
    <row r="33" spans="1:9" x14ac:dyDescent="0.25">
      <c r="A33">
        <v>955</v>
      </c>
      <c r="B33" t="s">
        <v>405</v>
      </c>
      <c r="C33" t="s">
        <v>458</v>
      </c>
      <c r="D33">
        <v>137</v>
      </c>
      <c r="E33">
        <v>1481.9378999999999</v>
      </c>
      <c r="F33">
        <v>203025.49230000001</v>
      </c>
      <c r="G33">
        <f>F33/(SUM(F2:F220))</f>
        <v>1.056003562553005E-2</v>
      </c>
      <c r="H33">
        <f t="shared" si="1"/>
        <v>0.49877604906180861</v>
      </c>
      <c r="I33" t="str">
        <f t="shared" si="0"/>
        <v>A</v>
      </c>
    </row>
    <row r="34" spans="1:9" x14ac:dyDescent="0.25">
      <c r="A34">
        <v>973</v>
      </c>
      <c r="B34" t="s">
        <v>423</v>
      </c>
      <c r="C34" t="s">
        <v>458</v>
      </c>
      <c r="D34">
        <v>185</v>
      </c>
      <c r="E34">
        <v>1082.51</v>
      </c>
      <c r="F34">
        <v>200264.35</v>
      </c>
      <c r="G34">
        <f>F34/(SUM(F2:F220))</f>
        <v>1.041641936963607E-2</v>
      </c>
      <c r="H34">
        <f t="shared" si="1"/>
        <v>0.50919246843144472</v>
      </c>
      <c r="I34" t="str">
        <f t="shared" si="0"/>
        <v>A</v>
      </c>
    </row>
    <row r="35" spans="1:9" x14ac:dyDescent="0.25">
      <c r="A35">
        <v>968</v>
      </c>
      <c r="B35" t="s">
        <v>418</v>
      </c>
      <c r="C35" t="s">
        <v>458</v>
      </c>
      <c r="D35">
        <v>133</v>
      </c>
      <c r="E35">
        <v>1481.9378999999999</v>
      </c>
      <c r="F35">
        <v>197097.74069999999</v>
      </c>
      <c r="G35">
        <f>F35/(SUM(F2:F220))</f>
        <v>1.0251713417485377E-2</v>
      </c>
      <c r="H35">
        <f t="shared" si="1"/>
        <v>0.51944418184893015</v>
      </c>
      <c r="I35" t="str">
        <f t="shared" si="0"/>
        <v>A</v>
      </c>
    </row>
    <row r="36" spans="1:9" x14ac:dyDescent="0.25">
      <c r="A36">
        <v>969</v>
      </c>
      <c r="B36" t="s">
        <v>419</v>
      </c>
      <c r="C36" t="s">
        <v>458</v>
      </c>
      <c r="D36">
        <v>129</v>
      </c>
      <c r="E36">
        <v>1481.9378999999999</v>
      </c>
      <c r="F36">
        <v>191169.98910000001</v>
      </c>
      <c r="G36">
        <f>F36/(SUM(F2:F220))</f>
        <v>9.9433912094407037E-3</v>
      </c>
      <c r="H36">
        <f t="shared" si="1"/>
        <v>0.52938757305837081</v>
      </c>
      <c r="I36" t="str">
        <f t="shared" si="0"/>
        <v>A</v>
      </c>
    </row>
    <row r="37" spans="1:9" x14ac:dyDescent="0.25">
      <c r="A37">
        <v>783</v>
      </c>
      <c r="B37" t="s">
        <v>273</v>
      </c>
      <c r="C37" t="s">
        <v>458</v>
      </c>
      <c r="D37">
        <v>148</v>
      </c>
      <c r="E37">
        <v>1251.9812999999999</v>
      </c>
      <c r="F37">
        <v>185293.23240000001</v>
      </c>
      <c r="G37">
        <f>F37/(SUM(F2:F220))</f>
        <v>9.6377214168864196E-3</v>
      </c>
      <c r="H37">
        <f t="shared" si="1"/>
        <v>0.53902529447525727</v>
      </c>
      <c r="I37" t="str">
        <f t="shared" si="0"/>
        <v>A</v>
      </c>
    </row>
    <row r="38" spans="1:9" x14ac:dyDescent="0.25">
      <c r="A38">
        <v>781</v>
      </c>
      <c r="B38" t="s">
        <v>271</v>
      </c>
      <c r="C38" t="s">
        <v>458</v>
      </c>
      <c r="D38">
        <v>140</v>
      </c>
      <c r="E38">
        <v>1265.6195</v>
      </c>
      <c r="F38">
        <v>177186.73</v>
      </c>
      <c r="G38">
        <f>F38/(SUM(F2:F220))</f>
        <v>9.2160750848290108E-3</v>
      </c>
      <c r="H38">
        <f t="shared" si="1"/>
        <v>0.54824136956008629</v>
      </c>
      <c r="I38" t="str">
        <f t="shared" si="0"/>
        <v>A</v>
      </c>
    </row>
    <row r="39" spans="1:9" x14ac:dyDescent="0.25">
      <c r="A39">
        <v>779</v>
      </c>
      <c r="B39" t="s">
        <v>269</v>
      </c>
      <c r="C39" t="s">
        <v>458</v>
      </c>
      <c r="D39">
        <v>137</v>
      </c>
      <c r="E39">
        <v>1265.6195</v>
      </c>
      <c r="F39">
        <v>173389.87150000001</v>
      </c>
      <c r="G39">
        <f>F39/(SUM(F2:F220))</f>
        <v>9.0185877615826752E-3</v>
      </c>
      <c r="H39">
        <f t="shared" si="1"/>
        <v>0.557259957321669</v>
      </c>
      <c r="I39" t="str">
        <f t="shared" si="0"/>
        <v>A</v>
      </c>
    </row>
    <row r="40" spans="1:9" x14ac:dyDescent="0.25">
      <c r="A40">
        <v>784</v>
      </c>
      <c r="B40" t="s">
        <v>274</v>
      </c>
      <c r="C40" t="s">
        <v>458</v>
      </c>
      <c r="D40">
        <v>137</v>
      </c>
      <c r="E40">
        <v>1251.9812999999999</v>
      </c>
      <c r="F40">
        <v>171521.4381</v>
      </c>
      <c r="G40">
        <f>F40/(SUM(F2:F220))</f>
        <v>8.9214042845502661E-3</v>
      </c>
      <c r="H40">
        <f t="shared" si="1"/>
        <v>0.56618136160621924</v>
      </c>
      <c r="I40" t="str">
        <f t="shared" si="0"/>
        <v>A</v>
      </c>
    </row>
    <row r="41" spans="1:9" x14ac:dyDescent="0.25">
      <c r="A41">
        <v>971</v>
      </c>
      <c r="B41" t="s">
        <v>421</v>
      </c>
      <c r="C41" t="s">
        <v>458</v>
      </c>
      <c r="D41">
        <v>227</v>
      </c>
      <c r="E41">
        <v>755.1508</v>
      </c>
      <c r="F41">
        <v>171419.2316</v>
      </c>
      <c r="G41">
        <f>F41/(SUM(F2:F220))</f>
        <v>8.9160881822769322E-3</v>
      </c>
      <c r="H41">
        <f t="shared" si="1"/>
        <v>0.5750974497884962</v>
      </c>
      <c r="I41" t="str">
        <f t="shared" si="0"/>
        <v>A</v>
      </c>
    </row>
    <row r="42" spans="1:9" x14ac:dyDescent="0.25">
      <c r="A42">
        <v>951</v>
      </c>
      <c r="B42" t="s">
        <v>401</v>
      </c>
      <c r="C42" t="s">
        <v>457</v>
      </c>
      <c r="D42">
        <v>923</v>
      </c>
      <c r="E42">
        <v>179.81559999999999</v>
      </c>
      <c r="F42">
        <v>165969.79879999999</v>
      </c>
      <c r="G42">
        <f>F42/(SUM(F2:F220))</f>
        <v>8.6326449365297479E-3</v>
      </c>
      <c r="H42">
        <f t="shared" si="1"/>
        <v>0.58373009472502591</v>
      </c>
      <c r="I42" t="str">
        <f t="shared" si="0"/>
        <v>A</v>
      </c>
    </row>
    <row r="43" spans="1:9" x14ac:dyDescent="0.25">
      <c r="A43">
        <v>942</v>
      </c>
      <c r="B43" t="s">
        <v>392</v>
      </c>
      <c r="C43" t="s">
        <v>457</v>
      </c>
      <c r="D43">
        <v>826</v>
      </c>
      <c r="E43">
        <v>199.37569999999999</v>
      </c>
      <c r="F43">
        <v>164684.32819999999</v>
      </c>
      <c r="G43">
        <f>F43/(SUM(F2:F220))</f>
        <v>8.5657833066044142E-3</v>
      </c>
      <c r="H43">
        <f t="shared" si="1"/>
        <v>0.59229587803163031</v>
      </c>
      <c r="I43" t="str">
        <f t="shared" si="0"/>
        <v>A</v>
      </c>
    </row>
    <row r="44" spans="1:9" x14ac:dyDescent="0.25">
      <c r="A44">
        <v>799</v>
      </c>
      <c r="B44" t="s">
        <v>289</v>
      </c>
      <c r="C44" t="s">
        <v>458</v>
      </c>
      <c r="D44">
        <v>227</v>
      </c>
      <c r="E44">
        <v>713.07979999999998</v>
      </c>
      <c r="F44">
        <v>161869.1146</v>
      </c>
      <c r="G44">
        <f>F44/(SUM(F2:F220))</f>
        <v>8.4193546213556271E-3</v>
      </c>
      <c r="H44">
        <f t="shared" si="1"/>
        <v>0.60071523265298599</v>
      </c>
      <c r="I44" t="str">
        <f t="shared" si="0"/>
        <v>A</v>
      </c>
    </row>
    <row r="45" spans="1:9" x14ac:dyDescent="0.25">
      <c r="A45">
        <v>974</v>
      </c>
      <c r="B45" t="s">
        <v>424</v>
      </c>
      <c r="C45" t="s">
        <v>458</v>
      </c>
      <c r="D45">
        <v>148</v>
      </c>
      <c r="E45">
        <v>1082.51</v>
      </c>
      <c r="F45">
        <v>160211.48000000001</v>
      </c>
      <c r="G45">
        <f>F45/(SUM(F2:F220))</f>
        <v>8.3331354957088561E-3</v>
      </c>
      <c r="H45">
        <f t="shared" si="1"/>
        <v>0.6090483681486949</v>
      </c>
      <c r="I45" t="str">
        <f t="shared" si="0"/>
        <v>A</v>
      </c>
    </row>
    <row r="46" spans="1:9" x14ac:dyDescent="0.25">
      <c r="A46">
        <v>758</v>
      </c>
      <c r="B46" t="s">
        <v>248</v>
      </c>
      <c r="C46" t="s">
        <v>458</v>
      </c>
      <c r="D46">
        <v>165</v>
      </c>
      <c r="E46">
        <v>884.70830000000001</v>
      </c>
      <c r="F46">
        <v>145976.8695</v>
      </c>
      <c r="G46">
        <f>F46/(SUM(F2:F220))</f>
        <v>7.5927457432071006E-3</v>
      </c>
      <c r="H46">
        <f t="shared" si="1"/>
        <v>0.61664111389190202</v>
      </c>
      <c r="I46" t="str">
        <f t="shared" si="0"/>
        <v>A</v>
      </c>
    </row>
    <row r="47" spans="1:9" x14ac:dyDescent="0.25">
      <c r="A47">
        <v>975</v>
      </c>
      <c r="B47" t="s">
        <v>425</v>
      </c>
      <c r="C47" t="s">
        <v>458</v>
      </c>
      <c r="D47">
        <v>133</v>
      </c>
      <c r="E47">
        <v>1082.51</v>
      </c>
      <c r="F47">
        <v>143973.82999999999</v>
      </c>
      <c r="G47">
        <f>F47/(SUM(F2:F220))</f>
        <v>7.4885609522248493E-3</v>
      </c>
      <c r="H47">
        <f t="shared" si="1"/>
        <v>0.62412967484412685</v>
      </c>
      <c r="I47" t="str">
        <f t="shared" si="0"/>
        <v>A</v>
      </c>
    </row>
    <row r="48" spans="1:9" x14ac:dyDescent="0.25">
      <c r="A48">
        <v>814</v>
      </c>
      <c r="B48" t="s">
        <v>304</v>
      </c>
      <c r="C48" t="s">
        <v>457</v>
      </c>
      <c r="D48">
        <v>767</v>
      </c>
      <c r="E48">
        <v>185.8193</v>
      </c>
      <c r="F48">
        <v>142523.4031</v>
      </c>
      <c r="G48">
        <f>F48/(SUM(F2:F220))</f>
        <v>7.4131193928289761E-3</v>
      </c>
      <c r="H48">
        <f t="shared" si="1"/>
        <v>0.63154279423695581</v>
      </c>
      <c r="I48" t="str">
        <f t="shared" si="0"/>
        <v>A</v>
      </c>
    </row>
    <row r="49" spans="1:9" x14ac:dyDescent="0.25">
      <c r="A49">
        <v>786</v>
      </c>
      <c r="B49" t="s">
        <v>276</v>
      </c>
      <c r="C49" t="s">
        <v>458</v>
      </c>
      <c r="D49">
        <v>223</v>
      </c>
      <c r="E49">
        <v>598.43539999999996</v>
      </c>
      <c r="F49">
        <v>133451.09419999999</v>
      </c>
      <c r="G49">
        <f>F49/(SUM(F2:F220))</f>
        <v>6.94123823098823E-3</v>
      </c>
      <c r="H49">
        <f t="shared" si="1"/>
        <v>0.63848403246794405</v>
      </c>
      <c r="I49" t="str">
        <f t="shared" si="0"/>
        <v>A</v>
      </c>
    </row>
    <row r="50" spans="1:9" x14ac:dyDescent="0.25">
      <c r="A50">
        <v>754</v>
      </c>
      <c r="B50" t="s">
        <v>244</v>
      </c>
      <c r="C50" t="s">
        <v>458</v>
      </c>
      <c r="D50">
        <v>148</v>
      </c>
      <c r="E50">
        <v>884.70830000000001</v>
      </c>
      <c r="F50">
        <v>130936.8284</v>
      </c>
      <c r="G50">
        <f>F50/(SUM(F2:F220))</f>
        <v>6.8104628484524296E-3</v>
      </c>
      <c r="H50">
        <f t="shared" si="1"/>
        <v>0.64529449531639649</v>
      </c>
      <c r="I50" t="str">
        <f t="shared" si="0"/>
        <v>A</v>
      </c>
    </row>
    <row r="51" spans="1:9" x14ac:dyDescent="0.25">
      <c r="A51">
        <v>953</v>
      </c>
      <c r="B51" t="s">
        <v>403</v>
      </c>
      <c r="C51" t="s">
        <v>458</v>
      </c>
      <c r="D51">
        <v>165</v>
      </c>
      <c r="E51">
        <v>755.1508</v>
      </c>
      <c r="F51">
        <v>124599.882</v>
      </c>
      <c r="G51">
        <f>F51/(SUM(F2:F220))</f>
        <v>6.4808570487916032E-3</v>
      </c>
      <c r="H51">
        <f t="shared" si="1"/>
        <v>0.65177535236518813</v>
      </c>
      <c r="I51" t="str">
        <f t="shared" si="0"/>
        <v>A</v>
      </c>
    </row>
    <row r="52" spans="1:9" x14ac:dyDescent="0.25">
      <c r="A52">
        <v>755</v>
      </c>
      <c r="B52" t="s">
        <v>245</v>
      </c>
      <c r="C52" t="s">
        <v>458</v>
      </c>
      <c r="D52">
        <v>137</v>
      </c>
      <c r="E52">
        <v>884.70830000000001</v>
      </c>
      <c r="F52">
        <v>121205.0371</v>
      </c>
      <c r="G52">
        <f>F52/(SUM(F2:F220))</f>
        <v>6.3042797989052895E-3</v>
      </c>
      <c r="H52">
        <f t="shared" si="1"/>
        <v>0.65807963216409338</v>
      </c>
      <c r="I52" t="str">
        <f t="shared" si="0"/>
        <v>A</v>
      </c>
    </row>
    <row r="53" spans="1:9" x14ac:dyDescent="0.25">
      <c r="A53">
        <v>757</v>
      </c>
      <c r="B53" t="s">
        <v>247</v>
      </c>
      <c r="C53" t="s">
        <v>458</v>
      </c>
      <c r="D53">
        <v>134</v>
      </c>
      <c r="E53">
        <v>884.70830000000001</v>
      </c>
      <c r="F53">
        <v>118550.91220000001</v>
      </c>
      <c r="G53">
        <f>F53/(SUM(F2:F220))</f>
        <v>6.166229876301524E-3</v>
      </c>
      <c r="H53">
        <f t="shared" si="1"/>
        <v>0.66424586204039493</v>
      </c>
      <c r="I53" t="str">
        <f t="shared" si="0"/>
        <v>A</v>
      </c>
    </row>
    <row r="54" spans="1:9" x14ac:dyDescent="0.25">
      <c r="A54">
        <v>756</v>
      </c>
      <c r="B54" t="s">
        <v>246</v>
      </c>
      <c r="C54" t="s">
        <v>458</v>
      </c>
      <c r="D54">
        <v>129</v>
      </c>
      <c r="E54">
        <v>884.70830000000001</v>
      </c>
      <c r="F54">
        <v>114127.3707</v>
      </c>
      <c r="G54">
        <f>F54/(SUM(F2:F220))</f>
        <v>5.9361466719619147E-3</v>
      </c>
      <c r="H54">
        <f t="shared" si="1"/>
        <v>0.67018200871235689</v>
      </c>
      <c r="I54" t="str">
        <f t="shared" si="0"/>
        <v>A</v>
      </c>
    </row>
    <row r="55" spans="1:9" x14ac:dyDescent="0.25">
      <c r="A55">
        <v>825</v>
      </c>
      <c r="B55" t="s">
        <v>315</v>
      </c>
      <c r="C55" t="s">
        <v>457</v>
      </c>
      <c r="D55">
        <v>783</v>
      </c>
      <c r="E55">
        <v>145.2835</v>
      </c>
      <c r="F55">
        <v>113756.98050000001</v>
      </c>
      <c r="G55">
        <f>F55/(SUM(F2:F220))</f>
        <v>5.9168814375175254E-3</v>
      </c>
      <c r="H55">
        <f t="shared" si="1"/>
        <v>0.67609889014987445</v>
      </c>
      <c r="I55" t="str">
        <f t="shared" si="0"/>
        <v>A</v>
      </c>
    </row>
    <row r="56" spans="1:9" x14ac:dyDescent="0.25">
      <c r="A56">
        <v>828</v>
      </c>
      <c r="B56" t="s">
        <v>318</v>
      </c>
      <c r="C56" t="s">
        <v>457</v>
      </c>
      <c r="D56">
        <v>716</v>
      </c>
      <c r="E56">
        <v>158.53460000000001</v>
      </c>
      <c r="F56">
        <v>113510.7736</v>
      </c>
      <c r="G56">
        <f>F56/(SUM(F2:F220))</f>
        <v>5.9040753922973048E-3</v>
      </c>
      <c r="H56">
        <f t="shared" si="1"/>
        <v>0.68200296554217177</v>
      </c>
      <c r="I56" t="str">
        <f t="shared" si="0"/>
        <v>A</v>
      </c>
    </row>
    <row r="57" spans="1:9" x14ac:dyDescent="0.25">
      <c r="A57">
        <v>956</v>
      </c>
      <c r="B57" t="s">
        <v>406</v>
      </c>
      <c r="C57" t="s">
        <v>458</v>
      </c>
      <c r="D57">
        <v>75</v>
      </c>
      <c r="E57">
        <v>1481.9378999999999</v>
      </c>
      <c r="F57">
        <v>111145.3425</v>
      </c>
      <c r="G57">
        <f>F57/(SUM(F2:F220))</f>
        <v>5.7810414008376181E-3</v>
      </c>
      <c r="H57">
        <f t="shared" si="1"/>
        <v>0.68778400694300934</v>
      </c>
      <c r="I57" t="str">
        <f t="shared" si="0"/>
        <v>A</v>
      </c>
    </row>
    <row r="58" spans="1:9" x14ac:dyDescent="0.25">
      <c r="A58">
        <v>817</v>
      </c>
      <c r="B58" t="s">
        <v>307</v>
      </c>
      <c r="C58" t="s">
        <v>457</v>
      </c>
      <c r="D58">
        <v>831</v>
      </c>
      <c r="E58">
        <v>133.2955</v>
      </c>
      <c r="F58">
        <v>110768.56050000001</v>
      </c>
      <c r="G58">
        <f>F58/(SUM(F2:F220))</f>
        <v>5.761443707474171E-3</v>
      </c>
      <c r="H58">
        <f t="shared" si="1"/>
        <v>0.69354545065048356</v>
      </c>
      <c r="I58" t="str">
        <f t="shared" si="0"/>
        <v>A</v>
      </c>
    </row>
    <row r="59" spans="1:9" x14ac:dyDescent="0.25">
      <c r="A59">
        <v>770</v>
      </c>
      <c r="B59" t="s">
        <v>260</v>
      </c>
      <c r="C59" t="s">
        <v>458</v>
      </c>
      <c r="D59">
        <v>227</v>
      </c>
      <c r="E59">
        <v>486.70659999999998</v>
      </c>
      <c r="F59">
        <v>110482.3982</v>
      </c>
      <c r="G59">
        <f>F59/(SUM(F2:F220))</f>
        <v>5.7465594481210724E-3</v>
      </c>
      <c r="H59">
        <f t="shared" si="1"/>
        <v>0.69929201009860464</v>
      </c>
      <c r="I59" t="str">
        <f t="shared" si="0"/>
        <v>A</v>
      </c>
    </row>
    <row r="60" spans="1:9" x14ac:dyDescent="0.25">
      <c r="A60">
        <v>763</v>
      </c>
      <c r="B60" t="s">
        <v>253</v>
      </c>
      <c r="C60" t="s">
        <v>458</v>
      </c>
      <c r="D60">
        <v>223</v>
      </c>
      <c r="E60">
        <v>486.70659999999998</v>
      </c>
      <c r="F60">
        <v>108535.57180000001</v>
      </c>
      <c r="G60">
        <f>F60/(SUM(F2:F220))</f>
        <v>5.6452984886828156E-3</v>
      </c>
      <c r="H60">
        <f t="shared" si="1"/>
        <v>0.70493730858728743</v>
      </c>
      <c r="I60" t="str">
        <f t="shared" si="0"/>
        <v>A</v>
      </c>
    </row>
    <row r="61" spans="1:9" x14ac:dyDescent="0.25">
      <c r="A61">
        <v>797</v>
      </c>
      <c r="B61" t="s">
        <v>287</v>
      </c>
      <c r="C61" t="s">
        <v>458</v>
      </c>
      <c r="D61">
        <v>148</v>
      </c>
      <c r="E61">
        <v>713.07979999999998</v>
      </c>
      <c r="F61">
        <v>105535.8104</v>
      </c>
      <c r="G61">
        <f>F61/(SUM(F2:F220))</f>
        <v>5.4892708544521272E-3</v>
      </c>
      <c r="H61">
        <f t="shared" si="1"/>
        <v>0.71042657944173959</v>
      </c>
      <c r="I61" t="str">
        <f t="shared" si="0"/>
        <v>A</v>
      </c>
    </row>
    <row r="62" spans="1:9" x14ac:dyDescent="0.25">
      <c r="A62">
        <v>950</v>
      </c>
      <c r="B62" t="s">
        <v>400</v>
      </c>
      <c r="C62" t="s">
        <v>457</v>
      </c>
      <c r="D62">
        <v>905</v>
      </c>
      <c r="E62">
        <v>113.88160000000001</v>
      </c>
      <c r="F62">
        <v>103062.848</v>
      </c>
      <c r="G62">
        <f>F62/(SUM(F2:F220))</f>
        <v>5.3606438000425843E-3</v>
      </c>
      <c r="H62">
        <f t="shared" si="1"/>
        <v>0.71578722324178212</v>
      </c>
      <c r="I62" t="str">
        <f t="shared" si="0"/>
        <v>A</v>
      </c>
    </row>
    <row r="63" spans="1:9" x14ac:dyDescent="0.25">
      <c r="A63">
        <v>827</v>
      </c>
      <c r="B63" t="s">
        <v>317</v>
      </c>
      <c r="C63" t="s">
        <v>457</v>
      </c>
      <c r="D63">
        <v>837</v>
      </c>
      <c r="E63">
        <v>122.2709</v>
      </c>
      <c r="F63">
        <v>102340.7433</v>
      </c>
      <c r="G63">
        <f>F63/(SUM(F2:F220))</f>
        <v>5.3230847168408797E-3</v>
      </c>
      <c r="H63">
        <f t="shared" si="1"/>
        <v>0.72111030795862296</v>
      </c>
      <c r="I63" t="str">
        <f t="shared" si="0"/>
        <v>A</v>
      </c>
    </row>
    <row r="64" spans="1:9" x14ac:dyDescent="0.25">
      <c r="A64">
        <v>970</v>
      </c>
      <c r="B64" t="s">
        <v>420</v>
      </c>
      <c r="C64" t="s">
        <v>458</v>
      </c>
      <c r="D64">
        <v>133</v>
      </c>
      <c r="E64">
        <v>755.1508</v>
      </c>
      <c r="F64">
        <v>100435.0564</v>
      </c>
      <c r="G64">
        <f>F64/(SUM(F2:F220))</f>
        <v>5.2239635605411108E-3</v>
      </c>
      <c r="H64">
        <f t="shared" si="1"/>
        <v>0.72633427151916408</v>
      </c>
      <c r="I64" t="str">
        <f t="shared" si="0"/>
        <v>A</v>
      </c>
    </row>
    <row r="65" spans="1:9" x14ac:dyDescent="0.25">
      <c r="A65">
        <v>820</v>
      </c>
      <c r="B65" t="s">
        <v>310</v>
      </c>
      <c r="C65" t="s">
        <v>457</v>
      </c>
      <c r="D65">
        <v>678</v>
      </c>
      <c r="E65">
        <v>146.54660000000001</v>
      </c>
      <c r="F65">
        <v>99358.594800000006</v>
      </c>
      <c r="G65">
        <f>F65/(SUM(F2:F220))</f>
        <v>5.1679731885107948E-3</v>
      </c>
      <c r="H65">
        <f t="shared" si="1"/>
        <v>0.73150224470767489</v>
      </c>
      <c r="I65" t="str">
        <f t="shared" si="0"/>
        <v>A</v>
      </c>
    </row>
    <row r="66" spans="1:9" x14ac:dyDescent="0.25">
      <c r="A66">
        <v>944</v>
      </c>
      <c r="B66" t="s">
        <v>394</v>
      </c>
      <c r="C66" t="s">
        <v>457</v>
      </c>
      <c r="D66">
        <v>682</v>
      </c>
      <c r="E66">
        <v>144.59379999999999</v>
      </c>
      <c r="F66">
        <v>98612.971600000004</v>
      </c>
      <c r="G66">
        <f>F66/(SUM(F2:F220))</f>
        <v>5.1291908293793261E-3</v>
      </c>
      <c r="H66">
        <f t="shared" si="1"/>
        <v>0.73663143553705424</v>
      </c>
      <c r="I66" t="str">
        <f t="shared" ref="I66:I129" si="2">IF(H66&lt;=0.8,"A",IF(H66&lt;=0.95,"B","C"))</f>
        <v>A</v>
      </c>
    </row>
    <row r="67" spans="1:9" x14ac:dyDescent="0.25">
      <c r="A67">
        <v>943</v>
      </c>
      <c r="B67" t="s">
        <v>393</v>
      </c>
      <c r="C67" t="s">
        <v>457</v>
      </c>
      <c r="D67">
        <v>719</v>
      </c>
      <c r="E67">
        <v>136.785</v>
      </c>
      <c r="F67">
        <v>98348.414999999994</v>
      </c>
      <c r="G67">
        <f>F67/(SUM(F2:F220))</f>
        <v>5.1154303548235445E-3</v>
      </c>
      <c r="H67">
        <f t="shared" ref="H67:H130" si="3">H66+G67</f>
        <v>0.74174686589187777</v>
      </c>
      <c r="I67" t="str">
        <f t="shared" si="2"/>
        <v>A</v>
      </c>
    </row>
    <row r="68" spans="1:9" x14ac:dyDescent="0.25">
      <c r="A68">
        <v>972</v>
      </c>
      <c r="B68" t="s">
        <v>422</v>
      </c>
      <c r="C68" t="s">
        <v>458</v>
      </c>
      <c r="D68">
        <v>129</v>
      </c>
      <c r="E68">
        <v>755.1508</v>
      </c>
      <c r="F68">
        <v>97414.453200000004</v>
      </c>
      <c r="G68">
        <f>F68/(SUM(F2:F220))</f>
        <v>5.0668518745097995E-3</v>
      </c>
      <c r="H68">
        <f t="shared" si="3"/>
        <v>0.74681371776638761</v>
      </c>
      <c r="I68" t="str">
        <f t="shared" si="2"/>
        <v>A</v>
      </c>
    </row>
    <row r="69" spans="1:9" x14ac:dyDescent="0.25">
      <c r="A69">
        <v>801</v>
      </c>
      <c r="B69" t="s">
        <v>291</v>
      </c>
      <c r="C69" t="s">
        <v>458</v>
      </c>
      <c r="D69">
        <v>134</v>
      </c>
      <c r="E69">
        <v>713.07979999999998</v>
      </c>
      <c r="F69">
        <v>95552.693199999994</v>
      </c>
      <c r="G69">
        <f>F69/(SUM(F2:F220))</f>
        <v>4.970015503355304E-3</v>
      </c>
      <c r="H69">
        <f t="shared" si="3"/>
        <v>0.7517837332697429</v>
      </c>
      <c r="I69" t="str">
        <f t="shared" si="2"/>
        <v>A</v>
      </c>
    </row>
    <row r="70" spans="1:9" x14ac:dyDescent="0.25">
      <c r="A70">
        <v>798</v>
      </c>
      <c r="B70" t="s">
        <v>288</v>
      </c>
      <c r="C70" t="s">
        <v>458</v>
      </c>
      <c r="D70">
        <v>133</v>
      </c>
      <c r="E70">
        <v>713.07979999999998</v>
      </c>
      <c r="F70">
        <v>94839.613400000002</v>
      </c>
      <c r="G70">
        <f>F70/(SUM(F2:F220))</f>
        <v>4.932925835419817E-3</v>
      </c>
      <c r="H70">
        <f t="shared" si="3"/>
        <v>0.75671665910516273</v>
      </c>
      <c r="I70" t="str">
        <f t="shared" si="2"/>
        <v>A</v>
      </c>
    </row>
    <row r="71" spans="1:9" x14ac:dyDescent="0.25">
      <c r="A71">
        <v>959</v>
      </c>
      <c r="B71" t="s">
        <v>409</v>
      </c>
      <c r="C71" t="s">
        <v>458</v>
      </c>
      <c r="D71">
        <v>204</v>
      </c>
      <c r="E71">
        <v>461.44479999999999</v>
      </c>
      <c r="F71">
        <v>94134.739199999996</v>
      </c>
      <c r="G71">
        <f>F71/(SUM(F2:F220))</f>
        <v>4.8962629682143622E-3</v>
      </c>
      <c r="H71">
        <f t="shared" si="3"/>
        <v>0.76161292207337705</v>
      </c>
      <c r="I71" t="str">
        <f t="shared" si="2"/>
        <v>A</v>
      </c>
    </row>
    <row r="72" spans="1:9" x14ac:dyDescent="0.25">
      <c r="A72">
        <v>800</v>
      </c>
      <c r="B72" t="s">
        <v>290</v>
      </c>
      <c r="C72" t="s">
        <v>458</v>
      </c>
      <c r="D72">
        <v>129</v>
      </c>
      <c r="E72">
        <v>713.07979999999998</v>
      </c>
      <c r="F72">
        <v>91987.294200000004</v>
      </c>
      <c r="G72">
        <f>F72/(SUM(F2:F220))</f>
        <v>4.7845671636778673E-3</v>
      </c>
      <c r="H72">
        <f t="shared" si="3"/>
        <v>0.76639748923705497</v>
      </c>
      <c r="I72" t="str">
        <f t="shared" si="2"/>
        <v>A</v>
      </c>
    </row>
    <row r="73" spans="1:9" x14ac:dyDescent="0.25">
      <c r="A73">
        <v>804</v>
      </c>
      <c r="B73" t="s">
        <v>294</v>
      </c>
      <c r="C73" t="s">
        <v>457</v>
      </c>
      <c r="D73">
        <v>901</v>
      </c>
      <c r="E73">
        <v>101.89360000000001</v>
      </c>
      <c r="F73">
        <v>91806.133600000001</v>
      </c>
      <c r="G73">
        <f>F73/(SUM(F2:F220))</f>
        <v>4.7751443943090067E-3</v>
      </c>
      <c r="H73">
        <f t="shared" si="3"/>
        <v>0.77117263363136401</v>
      </c>
      <c r="I73" t="str">
        <f t="shared" si="2"/>
        <v>A</v>
      </c>
    </row>
    <row r="74" spans="1:9" x14ac:dyDescent="0.25">
      <c r="A74">
        <v>767</v>
      </c>
      <c r="B74" t="s">
        <v>257</v>
      </c>
      <c r="C74" t="s">
        <v>458</v>
      </c>
      <c r="D74">
        <v>188</v>
      </c>
      <c r="E74">
        <v>486.70659999999998</v>
      </c>
      <c r="F74">
        <v>91500.840800000005</v>
      </c>
      <c r="G74">
        <f>F74/(SUM(F2:F220))</f>
        <v>4.7592650935980689E-3</v>
      </c>
      <c r="H74">
        <f t="shared" si="3"/>
        <v>0.77593189872496204</v>
      </c>
      <c r="I74" t="str">
        <f t="shared" si="2"/>
        <v>A</v>
      </c>
    </row>
    <row r="75" spans="1:9" x14ac:dyDescent="0.25">
      <c r="A75">
        <v>964</v>
      </c>
      <c r="B75" t="s">
        <v>414</v>
      </c>
      <c r="C75" t="s">
        <v>458</v>
      </c>
      <c r="D75">
        <v>197</v>
      </c>
      <c r="E75">
        <v>461.44479999999999</v>
      </c>
      <c r="F75">
        <v>90904.625599999999</v>
      </c>
      <c r="G75">
        <f>F75/(SUM(F2:F220))</f>
        <v>4.728253944795242E-3</v>
      </c>
      <c r="H75">
        <f t="shared" si="3"/>
        <v>0.7806601526697573</v>
      </c>
      <c r="I75" t="str">
        <f t="shared" si="2"/>
        <v>A</v>
      </c>
    </row>
    <row r="76" spans="1:9" x14ac:dyDescent="0.25">
      <c r="A76">
        <v>760</v>
      </c>
      <c r="B76" t="s">
        <v>250</v>
      </c>
      <c r="C76" t="s">
        <v>458</v>
      </c>
      <c r="D76">
        <v>185</v>
      </c>
      <c r="E76">
        <v>486.70659999999998</v>
      </c>
      <c r="F76">
        <v>90040.721000000005</v>
      </c>
      <c r="G76">
        <f>F76/(SUM(F2:F220))</f>
        <v>4.6833193740193763E-3</v>
      </c>
      <c r="H76">
        <f t="shared" si="3"/>
        <v>0.78534347204377664</v>
      </c>
      <c r="I76" t="str">
        <f t="shared" si="2"/>
        <v>A</v>
      </c>
    </row>
    <row r="77" spans="1:9" x14ac:dyDescent="0.25">
      <c r="A77">
        <v>819</v>
      </c>
      <c r="B77" t="s">
        <v>309</v>
      </c>
      <c r="C77" t="s">
        <v>457</v>
      </c>
      <c r="D77">
        <v>793</v>
      </c>
      <c r="E77">
        <v>110.2829</v>
      </c>
      <c r="F77">
        <v>87454.339699999997</v>
      </c>
      <c r="G77">
        <f>F77/(SUM(F2:F220))</f>
        <v>4.5487930228710833E-3</v>
      </c>
      <c r="H77">
        <f t="shared" si="3"/>
        <v>0.78989226506664767</v>
      </c>
      <c r="I77" t="str">
        <f t="shared" si="2"/>
        <v>A</v>
      </c>
    </row>
    <row r="78" spans="1:9" x14ac:dyDescent="0.25">
      <c r="A78">
        <v>824</v>
      </c>
      <c r="B78" t="s">
        <v>314</v>
      </c>
      <c r="C78" t="s">
        <v>457</v>
      </c>
      <c r="D78">
        <v>812</v>
      </c>
      <c r="E78">
        <v>104.79510000000001</v>
      </c>
      <c r="F78">
        <v>85093.621199999994</v>
      </c>
      <c r="G78">
        <f>F78/(SUM(F2:F220))</f>
        <v>4.4260041495161493E-3</v>
      </c>
      <c r="H78">
        <f t="shared" si="3"/>
        <v>0.79431826921616377</v>
      </c>
      <c r="I78" t="str">
        <f t="shared" si="2"/>
        <v>A</v>
      </c>
    </row>
    <row r="79" spans="1:9" x14ac:dyDescent="0.25">
      <c r="A79">
        <v>787</v>
      </c>
      <c r="B79" t="s">
        <v>277</v>
      </c>
      <c r="C79" t="s">
        <v>458</v>
      </c>
      <c r="D79">
        <v>140</v>
      </c>
      <c r="E79">
        <v>598.43539999999996</v>
      </c>
      <c r="F79">
        <v>83780.956000000006</v>
      </c>
      <c r="G79">
        <f>F79/(SUM(F2:F220))</f>
        <v>4.3577280373917147E-3</v>
      </c>
      <c r="H79">
        <f t="shared" si="3"/>
        <v>0.79867599725355554</v>
      </c>
      <c r="I79" t="str">
        <f t="shared" si="2"/>
        <v>A</v>
      </c>
    </row>
    <row r="80" spans="1:9" x14ac:dyDescent="0.25">
      <c r="A80">
        <v>785</v>
      </c>
      <c r="B80" t="s">
        <v>275</v>
      </c>
      <c r="C80" t="s">
        <v>458</v>
      </c>
      <c r="D80">
        <v>137</v>
      </c>
      <c r="E80">
        <v>598.43539999999996</v>
      </c>
      <c r="F80">
        <v>81985.649799999999</v>
      </c>
      <c r="G80">
        <f>F80/(SUM(F2:F220))</f>
        <v>4.2643481508761773E-3</v>
      </c>
      <c r="H80">
        <f t="shared" si="3"/>
        <v>0.80294034540443171</v>
      </c>
      <c r="I80" t="str">
        <f t="shared" si="2"/>
        <v>B</v>
      </c>
    </row>
    <row r="81" spans="1:9" x14ac:dyDescent="0.25">
      <c r="A81">
        <v>829</v>
      </c>
      <c r="B81" t="s">
        <v>319</v>
      </c>
      <c r="C81" t="s">
        <v>457</v>
      </c>
      <c r="D81">
        <v>741</v>
      </c>
      <c r="E81">
        <v>108.78440000000001</v>
      </c>
      <c r="F81">
        <v>80609.240399999995</v>
      </c>
      <c r="G81">
        <f>F81/(SUM(F2:F220))</f>
        <v>4.1927564894810804E-3</v>
      </c>
      <c r="H81">
        <f t="shared" si="3"/>
        <v>0.80713310189391274</v>
      </c>
      <c r="I81" t="str">
        <f t="shared" si="2"/>
        <v>B</v>
      </c>
    </row>
    <row r="82" spans="1:9" x14ac:dyDescent="0.25">
      <c r="A82">
        <v>766</v>
      </c>
      <c r="B82" t="s">
        <v>256</v>
      </c>
      <c r="C82" t="s">
        <v>458</v>
      </c>
      <c r="D82">
        <v>165</v>
      </c>
      <c r="E82">
        <v>486.70659999999998</v>
      </c>
      <c r="F82">
        <v>80306.589000000007</v>
      </c>
      <c r="G82">
        <f>F82/(SUM(F2:F220))</f>
        <v>4.1770145768280928E-3</v>
      </c>
      <c r="H82">
        <f t="shared" si="3"/>
        <v>0.81131011647074081</v>
      </c>
      <c r="I82" t="str">
        <f t="shared" si="2"/>
        <v>B</v>
      </c>
    </row>
    <row r="83" spans="1:9" x14ac:dyDescent="0.25">
      <c r="A83">
        <v>962</v>
      </c>
      <c r="B83" t="s">
        <v>412</v>
      </c>
      <c r="C83" t="s">
        <v>458</v>
      </c>
      <c r="D83">
        <v>174</v>
      </c>
      <c r="E83">
        <v>461.44479999999999</v>
      </c>
      <c r="F83">
        <v>80291.395199999999</v>
      </c>
      <c r="G83">
        <f>F83/(SUM(F2:F220))</f>
        <v>4.1762242964181323E-3</v>
      </c>
      <c r="H83">
        <f t="shared" si="3"/>
        <v>0.81548634076715898</v>
      </c>
      <c r="I83" t="str">
        <f t="shared" si="2"/>
        <v>B</v>
      </c>
    </row>
    <row r="84" spans="1:9" x14ac:dyDescent="0.25">
      <c r="A84">
        <v>759</v>
      </c>
      <c r="B84" t="s">
        <v>249</v>
      </c>
      <c r="C84" t="s">
        <v>458</v>
      </c>
      <c r="D84">
        <v>163</v>
      </c>
      <c r="E84">
        <v>486.70659999999998</v>
      </c>
      <c r="F84">
        <v>79333.175799999997</v>
      </c>
      <c r="G84">
        <f>F84/(SUM(F2:F220))</f>
        <v>4.1263840971089635E-3</v>
      </c>
      <c r="H84">
        <f t="shared" si="3"/>
        <v>0.81961272486426795</v>
      </c>
      <c r="I84" t="str">
        <f t="shared" si="2"/>
        <v>B</v>
      </c>
    </row>
    <row r="85" spans="1:9" x14ac:dyDescent="0.25">
      <c r="A85">
        <v>961</v>
      </c>
      <c r="B85" t="s">
        <v>411</v>
      </c>
      <c r="C85" t="s">
        <v>458</v>
      </c>
      <c r="D85">
        <v>168</v>
      </c>
      <c r="E85">
        <v>461.44479999999999</v>
      </c>
      <c r="F85">
        <v>77522.7264</v>
      </c>
      <c r="G85">
        <f>F85/(SUM(F2:F220))</f>
        <v>4.0322165620588863E-3</v>
      </c>
      <c r="H85">
        <f t="shared" si="3"/>
        <v>0.82364494142632683</v>
      </c>
      <c r="I85" t="str">
        <f t="shared" si="2"/>
        <v>B</v>
      </c>
    </row>
    <row r="86" spans="1:9" x14ac:dyDescent="0.25">
      <c r="A86">
        <v>788</v>
      </c>
      <c r="B86" t="s">
        <v>278</v>
      </c>
      <c r="C86" t="s">
        <v>458</v>
      </c>
      <c r="D86">
        <v>128</v>
      </c>
      <c r="E86">
        <v>598.43539999999996</v>
      </c>
      <c r="F86">
        <v>76599.731199999995</v>
      </c>
      <c r="G86">
        <f>F86/(SUM(F2:F220))</f>
        <v>3.9842084913295668E-3</v>
      </c>
      <c r="H86">
        <f t="shared" si="3"/>
        <v>0.82762914991765635</v>
      </c>
      <c r="I86" t="str">
        <f t="shared" si="2"/>
        <v>B</v>
      </c>
    </row>
    <row r="87" spans="1:9" x14ac:dyDescent="0.25">
      <c r="A87">
        <v>816</v>
      </c>
      <c r="B87" t="s">
        <v>306</v>
      </c>
      <c r="C87" t="s">
        <v>457</v>
      </c>
      <c r="D87">
        <v>818</v>
      </c>
      <c r="E87">
        <v>92.807100000000005</v>
      </c>
      <c r="F87">
        <v>75916.207800000004</v>
      </c>
      <c r="G87">
        <f>F87/(SUM(F2:F220))</f>
        <v>3.9486561507189721E-3</v>
      </c>
      <c r="H87">
        <f t="shared" si="3"/>
        <v>0.83157780606837528</v>
      </c>
      <c r="I87" t="str">
        <f t="shared" si="2"/>
        <v>B</v>
      </c>
    </row>
    <row r="88" spans="1:9" x14ac:dyDescent="0.25">
      <c r="A88">
        <v>979</v>
      </c>
      <c r="B88" t="s">
        <v>429</v>
      </c>
      <c r="C88" t="s">
        <v>458</v>
      </c>
      <c r="D88">
        <v>164</v>
      </c>
      <c r="E88">
        <v>461.44479999999999</v>
      </c>
      <c r="F88">
        <v>75676.947199999995</v>
      </c>
      <c r="G88">
        <f>F88/(SUM(F2:F220))</f>
        <v>3.9362114058193887E-3</v>
      </c>
      <c r="H88">
        <f t="shared" si="3"/>
        <v>0.83551401747419463</v>
      </c>
      <c r="I88" t="str">
        <f t="shared" si="2"/>
        <v>B</v>
      </c>
    </row>
    <row r="89" spans="1:9" x14ac:dyDescent="0.25">
      <c r="A89">
        <v>978</v>
      </c>
      <c r="B89" t="s">
        <v>428</v>
      </c>
      <c r="C89" t="s">
        <v>458</v>
      </c>
      <c r="D89">
        <v>163</v>
      </c>
      <c r="E89">
        <v>461.44479999999999</v>
      </c>
      <c r="F89">
        <v>75215.502399999998</v>
      </c>
      <c r="G89">
        <f>F89/(SUM(F2:F220))</f>
        <v>3.9122101167595145E-3</v>
      </c>
      <c r="H89">
        <f t="shared" si="3"/>
        <v>0.83942622759095409</v>
      </c>
      <c r="I89" t="str">
        <f t="shared" si="2"/>
        <v>B</v>
      </c>
    </row>
    <row r="90" spans="1:9" x14ac:dyDescent="0.25">
      <c r="A90">
        <v>965</v>
      </c>
      <c r="B90" t="s">
        <v>415</v>
      </c>
      <c r="C90" t="s">
        <v>458</v>
      </c>
      <c r="D90">
        <v>163</v>
      </c>
      <c r="E90">
        <v>461.44479999999999</v>
      </c>
      <c r="F90">
        <v>75215.502399999998</v>
      </c>
      <c r="G90">
        <f>F90/(SUM(F2:F220))</f>
        <v>3.9122101167595145E-3</v>
      </c>
      <c r="H90">
        <f t="shared" si="3"/>
        <v>0.84333843770771355</v>
      </c>
      <c r="I90" t="str">
        <f t="shared" si="2"/>
        <v>B</v>
      </c>
    </row>
    <row r="91" spans="1:9" x14ac:dyDescent="0.25">
      <c r="A91">
        <v>958</v>
      </c>
      <c r="B91" t="s">
        <v>408</v>
      </c>
      <c r="C91" t="s">
        <v>458</v>
      </c>
      <c r="D91">
        <v>163</v>
      </c>
      <c r="E91">
        <v>461.44479999999999</v>
      </c>
      <c r="F91">
        <v>75215.502399999998</v>
      </c>
      <c r="G91">
        <f>F91/(SUM(F2:F220))</f>
        <v>3.9122101167595145E-3</v>
      </c>
      <c r="H91">
        <f t="shared" si="3"/>
        <v>0.84725064782447301</v>
      </c>
      <c r="I91" t="str">
        <f t="shared" si="2"/>
        <v>B</v>
      </c>
    </row>
    <row r="92" spans="1:9" x14ac:dyDescent="0.25">
      <c r="A92">
        <v>963</v>
      </c>
      <c r="B92" t="s">
        <v>413</v>
      </c>
      <c r="C92" t="s">
        <v>458</v>
      </c>
      <c r="D92">
        <v>162</v>
      </c>
      <c r="E92">
        <v>461.44479999999999</v>
      </c>
      <c r="F92">
        <v>74754.0576</v>
      </c>
      <c r="G92">
        <f>F92/(SUM(F2:F220))</f>
        <v>3.8882088276996404E-3</v>
      </c>
      <c r="H92">
        <f t="shared" si="3"/>
        <v>0.8511388566521727</v>
      </c>
      <c r="I92" t="str">
        <f t="shared" si="2"/>
        <v>B</v>
      </c>
    </row>
    <row r="93" spans="1:9" x14ac:dyDescent="0.25">
      <c r="A93">
        <v>960</v>
      </c>
      <c r="B93" t="s">
        <v>410</v>
      </c>
      <c r="C93" t="s">
        <v>458</v>
      </c>
      <c r="D93">
        <v>159</v>
      </c>
      <c r="E93">
        <v>461.44479999999999</v>
      </c>
      <c r="F93">
        <v>73369.723199999993</v>
      </c>
      <c r="G93">
        <f>F93/(SUM(F2:F220))</f>
        <v>3.8162049605200169E-3</v>
      </c>
      <c r="H93">
        <f t="shared" si="3"/>
        <v>0.85495506161269275</v>
      </c>
      <c r="I93" t="str">
        <f t="shared" si="2"/>
        <v>B</v>
      </c>
    </row>
    <row r="94" spans="1:9" x14ac:dyDescent="0.25">
      <c r="A94">
        <v>761</v>
      </c>
      <c r="B94" t="s">
        <v>251</v>
      </c>
      <c r="C94" t="s">
        <v>458</v>
      </c>
      <c r="D94">
        <v>148</v>
      </c>
      <c r="E94">
        <v>486.70659999999998</v>
      </c>
      <c r="F94">
        <v>72032.576799999995</v>
      </c>
      <c r="G94">
        <f>F94/(SUM(F2:F220))</f>
        <v>3.7466554992155007E-3</v>
      </c>
      <c r="H94">
        <f t="shared" si="3"/>
        <v>0.85870171711190824</v>
      </c>
      <c r="I94" t="str">
        <f t="shared" si="2"/>
        <v>B</v>
      </c>
    </row>
    <row r="95" spans="1:9" x14ac:dyDescent="0.25">
      <c r="A95">
        <v>768</v>
      </c>
      <c r="B95" t="s">
        <v>258</v>
      </c>
      <c r="C95" t="s">
        <v>458</v>
      </c>
      <c r="D95">
        <v>148</v>
      </c>
      <c r="E95">
        <v>486.70659999999998</v>
      </c>
      <c r="F95">
        <v>72032.576799999995</v>
      </c>
      <c r="G95">
        <f>F95/(SUM(F2:F220))</f>
        <v>3.7466554992155007E-3</v>
      </c>
      <c r="H95">
        <f t="shared" si="3"/>
        <v>0.86244837261112373</v>
      </c>
      <c r="I95" t="str">
        <f t="shared" si="2"/>
        <v>B</v>
      </c>
    </row>
    <row r="96" spans="1:9" x14ac:dyDescent="0.25">
      <c r="A96">
        <v>821</v>
      </c>
      <c r="B96" t="s">
        <v>311</v>
      </c>
      <c r="C96" t="s">
        <v>457</v>
      </c>
      <c r="D96">
        <v>736</v>
      </c>
      <c r="E96">
        <v>96.796400000000006</v>
      </c>
      <c r="F96">
        <v>71242.150399999999</v>
      </c>
      <c r="G96">
        <f>F96/(SUM(F2:F220))</f>
        <v>3.7055427756417258E-3</v>
      </c>
      <c r="H96">
        <f t="shared" si="3"/>
        <v>0.86615391538676545</v>
      </c>
      <c r="I96" t="str">
        <f t="shared" si="2"/>
        <v>B</v>
      </c>
    </row>
    <row r="97" spans="1:9" x14ac:dyDescent="0.25">
      <c r="A97">
        <v>949</v>
      </c>
      <c r="B97" t="s">
        <v>399</v>
      </c>
      <c r="C97" t="s">
        <v>457</v>
      </c>
      <c r="D97">
        <v>885</v>
      </c>
      <c r="E97">
        <v>77.917599999999993</v>
      </c>
      <c r="F97">
        <v>68957.076000000001</v>
      </c>
      <c r="G97">
        <f>F97/(SUM(F2:F220))</f>
        <v>3.5866884051997602E-3</v>
      </c>
      <c r="H97">
        <f t="shared" si="3"/>
        <v>0.86974060379196516</v>
      </c>
      <c r="I97" t="str">
        <f t="shared" si="2"/>
        <v>B</v>
      </c>
    </row>
    <row r="98" spans="1:9" x14ac:dyDescent="0.25">
      <c r="A98">
        <v>983</v>
      </c>
      <c r="B98" t="s">
        <v>433</v>
      </c>
      <c r="C98" t="s">
        <v>458</v>
      </c>
      <c r="D98">
        <v>164</v>
      </c>
      <c r="E98">
        <v>419.77839999999998</v>
      </c>
      <c r="F98">
        <v>68843.657600000006</v>
      </c>
      <c r="G98">
        <f>F98/(SUM(F2:F220))</f>
        <v>3.5807891344676848E-3</v>
      </c>
      <c r="H98">
        <f t="shared" si="3"/>
        <v>0.87332139292643285</v>
      </c>
      <c r="I98" t="str">
        <f t="shared" si="2"/>
        <v>B</v>
      </c>
    </row>
    <row r="99" spans="1:9" x14ac:dyDescent="0.25">
      <c r="A99">
        <v>803</v>
      </c>
      <c r="B99" t="s">
        <v>293</v>
      </c>
      <c r="C99" t="s">
        <v>457</v>
      </c>
      <c r="D99">
        <v>882</v>
      </c>
      <c r="E99">
        <v>77.917599999999993</v>
      </c>
      <c r="F99">
        <v>68723.323199999999</v>
      </c>
      <c r="G99">
        <f>F99/(SUM(F2:F220))</f>
        <v>3.574530139419422E-3</v>
      </c>
      <c r="H99">
        <f t="shared" si="3"/>
        <v>0.87689592306585229</v>
      </c>
      <c r="I99" t="str">
        <f t="shared" si="2"/>
        <v>B</v>
      </c>
    </row>
    <row r="100" spans="1:9" x14ac:dyDescent="0.25">
      <c r="A100">
        <v>764</v>
      </c>
      <c r="B100" t="s">
        <v>254</v>
      </c>
      <c r="C100" t="s">
        <v>458</v>
      </c>
      <c r="D100">
        <v>140</v>
      </c>
      <c r="E100">
        <v>486.70659999999998</v>
      </c>
      <c r="F100">
        <v>68138.923999999999</v>
      </c>
      <c r="G100">
        <f>F100/(SUM(F2:F220))</f>
        <v>3.5441335803389875E-3</v>
      </c>
      <c r="H100">
        <f t="shared" si="3"/>
        <v>0.88044005664619129</v>
      </c>
      <c r="I100" t="str">
        <f t="shared" si="2"/>
        <v>B</v>
      </c>
    </row>
    <row r="101" spans="1:9" x14ac:dyDescent="0.25">
      <c r="A101">
        <v>762</v>
      </c>
      <c r="B101" t="s">
        <v>252</v>
      </c>
      <c r="C101" t="s">
        <v>458</v>
      </c>
      <c r="D101">
        <v>137</v>
      </c>
      <c r="E101">
        <v>486.70659999999998</v>
      </c>
      <c r="F101">
        <v>66678.804199999999</v>
      </c>
      <c r="G101">
        <f>F101/(SUM(F2:F220))</f>
        <v>3.4681878607602948E-3</v>
      </c>
      <c r="H101">
        <f t="shared" si="3"/>
        <v>0.8839082445069516</v>
      </c>
      <c r="I101" t="str">
        <f t="shared" si="2"/>
        <v>B</v>
      </c>
    </row>
    <row r="102" spans="1:9" x14ac:dyDescent="0.25">
      <c r="A102">
        <v>999</v>
      </c>
      <c r="B102" t="s">
        <v>449</v>
      </c>
      <c r="C102" t="s">
        <v>458</v>
      </c>
      <c r="D102">
        <v>194</v>
      </c>
      <c r="E102">
        <v>343.64960000000002</v>
      </c>
      <c r="F102">
        <v>66668.022400000002</v>
      </c>
      <c r="G102">
        <f>F102/(SUM(F2:F220))</f>
        <v>3.467627063242616E-3</v>
      </c>
      <c r="H102">
        <f t="shared" si="3"/>
        <v>0.88737587157019426</v>
      </c>
      <c r="I102" t="str">
        <f t="shared" si="2"/>
        <v>B</v>
      </c>
    </row>
    <row r="103" spans="1:9" x14ac:dyDescent="0.25">
      <c r="A103">
        <v>765</v>
      </c>
      <c r="B103" t="s">
        <v>255</v>
      </c>
      <c r="C103" t="s">
        <v>458</v>
      </c>
      <c r="D103">
        <v>134</v>
      </c>
      <c r="E103">
        <v>486.70659999999998</v>
      </c>
      <c r="F103">
        <v>65218.684399999998</v>
      </c>
      <c r="G103">
        <f>F103/(SUM(F2:F220))</f>
        <v>3.3922421411816022E-3</v>
      </c>
      <c r="H103">
        <f t="shared" si="3"/>
        <v>0.89076811371137588</v>
      </c>
      <c r="I103" t="str">
        <f t="shared" si="2"/>
        <v>B</v>
      </c>
    </row>
    <row r="104" spans="1:9" x14ac:dyDescent="0.25">
      <c r="A104">
        <v>769</v>
      </c>
      <c r="B104" t="s">
        <v>259</v>
      </c>
      <c r="C104" t="s">
        <v>458</v>
      </c>
      <c r="D104">
        <v>133</v>
      </c>
      <c r="E104">
        <v>486.70659999999998</v>
      </c>
      <c r="F104">
        <v>64731.977800000001</v>
      </c>
      <c r="G104">
        <f>F104/(SUM(F2:F220))</f>
        <v>3.366926901322038E-3</v>
      </c>
      <c r="H104">
        <f t="shared" si="3"/>
        <v>0.89413504061269788</v>
      </c>
      <c r="I104" t="str">
        <f t="shared" si="2"/>
        <v>B</v>
      </c>
    </row>
    <row r="105" spans="1:9" x14ac:dyDescent="0.25">
      <c r="A105">
        <v>982</v>
      </c>
      <c r="B105" t="s">
        <v>432</v>
      </c>
      <c r="C105" t="s">
        <v>458</v>
      </c>
      <c r="D105">
        <v>154</v>
      </c>
      <c r="E105">
        <v>419.77839999999998</v>
      </c>
      <c r="F105">
        <v>64645.873599999999</v>
      </c>
      <c r="G105">
        <f>F105/(SUM(F2:F220))</f>
        <v>3.3624483335855087E-3</v>
      </c>
      <c r="H105">
        <f t="shared" si="3"/>
        <v>0.89749748894628334</v>
      </c>
      <c r="I105" t="str">
        <f t="shared" si="2"/>
        <v>B</v>
      </c>
    </row>
    <row r="106" spans="1:9" x14ac:dyDescent="0.25">
      <c r="A106">
        <v>981</v>
      </c>
      <c r="B106" t="s">
        <v>431</v>
      </c>
      <c r="C106" t="s">
        <v>458</v>
      </c>
      <c r="D106">
        <v>153</v>
      </c>
      <c r="E106">
        <v>419.77839999999998</v>
      </c>
      <c r="F106">
        <v>64226.095200000003</v>
      </c>
      <c r="G106">
        <f>F106/(SUM(F2:F220))</f>
        <v>3.3406142534972913E-3</v>
      </c>
      <c r="H106">
        <f t="shared" si="3"/>
        <v>0.90083810319978064</v>
      </c>
      <c r="I106" t="str">
        <f t="shared" si="2"/>
        <v>B</v>
      </c>
    </row>
    <row r="107" spans="1:9" x14ac:dyDescent="0.25">
      <c r="A107">
        <v>980</v>
      </c>
      <c r="B107" t="s">
        <v>430</v>
      </c>
      <c r="C107" t="s">
        <v>458</v>
      </c>
      <c r="D107">
        <v>150</v>
      </c>
      <c r="E107">
        <v>419.77839999999998</v>
      </c>
      <c r="F107">
        <v>62966.76</v>
      </c>
      <c r="G107">
        <f>F107/(SUM(F2:F220))</f>
        <v>3.2751120132326382E-3</v>
      </c>
      <c r="H107">
        <f t="shared" si="3"/>
        <v>0.90411321521301324</v>
      </c>
      <c r="I107" t="str">
        <f t="shared" si="2"/>
        <v>B</v>
      </c>
    </row>
    <row r="108" spans="1:9" x14ac:dyDescent="0.25">
      <c r="A108">
        <v>988</v>
      </c>
      <c r="B108" t="s">
        <v>438</v>
      </c>
      <c r="C108" t="s">
        <v>458</v>
      </c>
      <c r="D108">
        <v>194</v>
      </c>
      <c r="E108">
        <v>308.21789999999999</v>
      </c>
      <c r="F108">
        <v>59794.272599999997</v>
      </c>
      <c r="G108">
        <f>F108/(SUM(F2:F220))</f>
        <v>3.1101003214198597E-3</v>
      </c>
      <c r="H108">
        <f t="shared" si="3"/>
        <v>0.90722331553443314</v>
      </c>
      <c r="I108" t="str">
        <f t="shared" si="2"/>
        <v>B</v>
      </c>
    </row>
    <row r="109" spans="1:9" x14ac:dyDescent="0.25">
      <c r="A109">
        <v>802</v>
      </c>
      <c r="B109" t="s">
        <v>292</v>
      </c>
      <c r="C109" t="s">
        <v>457</v>
      </c>
      <c r="D109">
        <v>863</v>
      </c>
      <c r="E109">
        <v>65.809700000000007</v>
      </c>
      <c r="F109">
        <v>56793.771099999998</v>
      </c>
      <c r="G109">
        <f>F109/(SUM(F2:F220))</f>
        <v>2.9540341921101645E-3</v>
      </c>
      <c r="H109">
        <f t="shared" si="3"/>
        <v>0.91017734972654329</v>
      </c>
      <c r="I109" t="str">
        <f t="shared" si="2"/>
        <v>B</v>
      </c>
    </row>
    <row r="110" spans="1:9" x14ac:dyDescent="0.25">
      <c r="A110">
        <v>998</v>
      </c>
      <c r="B110" t="s">
        <v>448</v>
      </c>
      <c r="C110" t="s">
        <v>458</v>
      </c>
      <c r="D110">
        <v>155</v>
      </c>
      <c r="E110">
        <v>343.64960000000002</v>
      </c>
      <c r="F110">
        <v>53265.688000000002</v>
      </c>
      <c r="G110">
        <f>F110/(SUM(F2:F220))</f>
        <v>2.770526777333018E-3</v>
      </c>
      <c r="H110">
        <f t="shared" si="3"/>
        <v>0.91294787650387632</v>
      </c>
      <c r="I110" t="str">
        <f t="shared" si="2"/>
        <v>B</v>
      </c>
    </row>
    <row r="111" spans="1:9" x14ac:dyDescent="0.25">
      <c r="A111">
        <v>997</v>
      </c>
      <c r="B111" t="s">
        <v>447</v>
      </c>
      <c r="C111" t="s">
        <v>458</v>
      </c>
      <c r="D111">
        <v>153</v>
      </c>
      <c r="E111">
        <v>343.64960000000002</v>
      </c>
      <c r="F111">
        <v>52578.388800000001</v>
      </c>
      <c r="G111">
        <f>F111/(SUM(F2:F220))</f>
        <v>2.7347780447222695E-3</v>
      </c>
      <c r="H111">
        <f t="shared" si="3"/>
        <v>0.91568265454859854</v>
      </c>
      <c r="I111" t="str">
        <f t="shared" si="2"/>
        <v>B</v>
      </c>
    </row>
    <row r="112" spans="1:9" x14ac:dyDescent="0.25">
      <c r="A112">
        <v>977</v>
      </c>
      <c r="B112" t="s">
        <v>427</v>
      </c>
      <c r="C112" t="s">
        <v>458</v>
      </c>
      <c r="D112">
        <v>153</v>
      </c>
      <c r="E112">
        <v>343.64960000000002</v>
      </c>
      <c r="F112">
        <v>52578.388800000001</v>
      </c>
      <c r="G112">
        <f>F112/(SUM(F2:F220))</f>
        <v>2.7347780447222695E-3</v>
      </c>
      <c r="H112">
        <f t="shared" si="3"/>
        <v>0.91841743259332076</v>
      </c>
      <c r="I112" t="str">
        <f t="shared" si="2"/>
        <v>B</v>
      </c>
    </row>
    <row r="113" spans="1:9" x14ac:dyDescent="0.25">
      <c r="A113">
        <v>996</v>
      </c>
      <c r="B113" t="s">
        <v>446</v>
      </c>
      <c r="C113" t="s">
        <v>457</v>
      </c>
      <c r="D113">
        <v>970</v>
      </c>
      <c r="E113">
        <v>53.941600000000001</v>
      </c>
      <c r="F113">
        <v>52323.351999999999</v>
      </c>
      <c r="G113">
        <f>F113/(SUM(F2:F220))</f>
        <v>2.7215127268387317E-3</v>
      </c>
      <c r="H113">
        <f t="shared" si="3"/>
        <v>0.9211389453201595</v>
      </c>
      <c r="I113" t="str">
        <f t="shared" si="2"/>
        <v>B</v>
      </c>
    </row>
    <row r="114" spans="1:9" x14ac:dyDescent="0.25">
      <c r="A114">
        <v>985</v>
      </c>
      <c r="B114" t="s">
        <v>435</v>
      </c>
      <c r="C114" t="s">
        <v>458</v>
      </c>
      <c r="D114">
        <v>164</v>
      </c>
      <c r="E114">
        <v>308.21789999999999</v>
      </c>
      <c r="F114">
        <v>50547.7356</v>
      </c>
      <c r="G114">
        <f>F114/(SUM(F2:F220))</f>
        <v>2.6291569727466858E-3</v>
      </c>
      <c r="H114">
        <f t="shared" si="3"/>
        <v>0.92376810229290618</v>
      </c>
      <c r="I114" t="str">
        <f t="shared" si="2"/>
        <v>B</v>
      </c>
    </row>
    <row r="115" spans="1:9" x14ac:dyDescent="0.25">
      <c r="A115">
        <v>992</v>
      </c>
      <c r="B115" t="s">
        <v>442</v>
      </c>
      <c r="C115" t="s">
        <v>458</v>
      </c>
      <c r="D115">
        <v>164</v>
      </c>
      <c r="E115">
        <v>294.5797</v>
      </c>
      <c r="F115">
        <v>48311.070800000001</v>
      </c>
      <c r="G115">
        <f>F115/(SUM(F2:F220))</f>
        <v>2.512820547685994E-3</v>
      </c>
      <c r="H115">
        <f t="shared" si="3"/>
        <v>0.92628092284059216</v>
      </c>
      <c r="I115" t="str">
        <f t="shared" si="2"/>
        <v>B</v>
      </c>
    </row>
    <row r="116" spans="1:9" x14ac:dyDescent="0.25">
      <c r="A116">
        <v>987</v>
      </c>
      <c r="B116" t="s">
        <v>437</v>
      </c>
      <c r="C116" t="s">
        <v>458</v>
      </c>
      <c r="D116">
        <v>155</v>
      </c>
      <c r="E116">
        <v>308.21789999999999</v>
      </c>
      <c r="F116">
        <v>47773.7745</v>
      </c>
      <c r="G116">
        <f>F116/(SUM(F2:F220))</f>
        <v>2.4848739681447335E-3</v>
      </c>
      <c r="H116">
        <f t="shared" si="3"/>
        <v>0.92876579680873694</v>
      </c>
      <c r="I116" t="str">
        <f t="shared" si="2"/>
        <v>B</v>
      </c>
    </row>
    <row r="117" spans="1:9" x14ac:dyDescent="0.25">
      <c r="A117">
        <v>984</v>
      </c>
      <c r="B117" t="s">
        <v>434</v>
      </c>
      <c r="C117" t="s">
        <v>458</v>
      </c>
      <c r="D117">
        <v>154</v>
      </c>
      <c r="E117">
        <v>308.21789999999999</v>
      </c>
      <c r="F117">
        <v>47465.556600000004</v>
      </c>
      <c r="G117">
        <f>F117/(SUM(F2:F220))</f>
        <v>2.4688425231889611E-3</v>
      </c>
      <c r="H117">
        <f t="shared" si="3"/>
        <v>0.93123463933192585</v>
      </c>
      <c r="I117" t="str">
        <f t="shared" si="2"/>
        <v>B</v>
      </c>
    </row>
    <row r="118" spans="1:9" x14ac:dyDescent="0.25">
      <c r="A118">
        <v>986</v>
      </c>
      <c r="B118" t="s">
        <v>436</v>
      </c>
      <c r="C118" t="s">
        <v>458</v>
      </c>
      <c r="D118">
        <v>153</v>
      </c>
      <c r="E118">
        <v>308.21789999999999</v>
      </c>
      <c r="F118">
        <v>47157.3387</v>
      </c>
      <c r="G118">
        <f>F118/(SUM(F2:F220))</f>
        <v>2.4528110782331886E-3</v>
      </c>
      <c r="H118">
        <f t="shared" si="3"/>
        <v>0.93368745041015899</v>
      </c>
      <c r="I118" t="str">
        <f t="shared" si="2"/>
        <v>B</v>
      </c>
    </row>
    <row r="119" spans="1:9" x14ac:dyDescent="0.25">
      <c r="A119">
        <v>894</v>
      </c>
      <c r="B119" t="s">
        <v>364</v>
      </c>
      <c r="C119" t="s">
        <v>457</v>
      </c>
      <c r="D119">
        <v>847</v>
      </c>
      <c r="E119">
        <v>53.928199999999997</v>
      </c>
      <c r="F119">
        <v>45677.185400000002</v>
      </c>
      <c r="G119">
        <f>F119/(SUM(F2:F220))</f>
        <v>2.3758233492432272E-3</v>
      </c>
      <c r="H119">
        <f t="shared" si="3"/>
        <v>0.93606327375940224</v>
      </c>
      <c r="I119" t="str">
        <f t="shared" si="2"/>
        <v>B</v>
      </c>
    </row>
    <row r="120" spans="1:9" x14ac:dyDescent="0.25">
      <c r="A120">
        <v>991</v>
      </c>
      <c r="B120" t="s">
        <v>441</v>
      </c>
      <c r="C120" t="s">
        <v>458</v>
      </c>
      <c r="D120">
        <v>154</v>
      </c>
      <c r="E120">
        <v>294.5797</v>
      </c>
      <c r="F120">
        <v>45365.273800000003</v>
      </c>
      <c r="G120">
        <f>F120/(SUM(F2:F220))</f>
        <v>2.3595997825831896E-3</v>
      </c>
      <c r="H120">
        <f t="shared" si="3"/>
        <v>0.93842287354198539</v>
      </c>
      <c r="I120" t="str">
        <f t="shared" si="2"/>
        <v>B</v>
      </c>
    </row>
    <row r="121" spans="1:9" x14ac:dyDescent="0.25">
      <c r="A121">
        <v>993</v>
      </c>
      <c r="B121" t="s">
        <v>443</v>
      </c>
      <c r="C121" t="s">
        <v>458</v>
      </c>
      <c r="D121">
        <v>153</v>
      </c>
      <c r="E121">
        <v>294.5797</v>
      </c>
      <c r="F121">
        <v>45070.694100000001</v>
      </c>
      <c r="G121">
        <f>F121/(SUM(F2:F220))</f>
        <v>2.344277706072909E-3</v>
      </c>
      <c r="H121">
        <f t="shared" si="3"/>
        <v>0.94076715124805832</v>
      </c>
      <c r="I121" t="str">
        <f t="shared" si="2"/>
        <v>B</v>
      </c>
    </row>
    <row r="122" spans="1:9" x14ac:dyDescent="0.25">
      <c r="A122">
        <v>990</v>
      </c>
      <c r="B122" t="s">
        <v>440</v>
      </c>
      <c r="C122" t="s">
        <v>458</v>
      </c>
      <c r="D122">
        <v>153</v>
      </c>
      <c r="E122">
        <v>294.5797</v>
      </c>
      <c r="F122">
        <v>45070.694100000001</v>
      </c>
      <c r="G122">
        <f>F122/(SUM(F2:F220))</f>
        <v>2.344277706072909E-3</v>
      </c>
      <c r="H122">
        <f t="shared" si="3"/>
        <v>0.94311142895413125</v>
      </c>
      <c r="I122" t="str">
        <f t="shared" si="2"/>
        <v>B</v>
      </c>
    </row>
    <row r="123" spans="1:9" x14ac:dyDescent="0.25">
      <c r="A123">
        <v>810</v>
      </c>
      <c r="B123" t="s">
        <v>300</v>
      </c>
      <c r="C123" t="s">
        <v>457</v>
      </c>
      <c r="D123">
        <v>840</v>
      </c>
      <c r="E123">
        <v>53.399900000000002</v>
      </c>
      <c r="F123">
        <v>44855.915999999997</v>
      </c>
      <c r="G123">
        <f>F123/(SUM(F2:F220))</f>
        <v>2.3331063779707594E-3</v>
      </c>
      <c r="H123">
        <f t="shared" si="3"/>
        <v>0.94544453533210204</v>
      </c>
      <c r="I123" t="str">
        <f t="shared" si="2"/>
        <v>B</v>
      </c>
    </row>
    <row r="124" spans="1:9" x14ac:dyDescent="0.25">
      <c r="A124">
        <v>989</v>
      </c>
      <c r="B124" t="s">
        <v>439</v>
      </c>
      <c r="C124" t="s">
        <v>458</v>
      </c>
      <c r="D124">
        <v>150</v>
      </c>
      <c r="E124">
        <v>294.5797</v>
      </c>
      <c r="F124">
        <v>44186.955000000002</v>
      </c>
      <c r="G124">
        <f>F124/(SUM(F2:F220))</f>
        <v>2.2983114765420675E-3</v>
      </c>
      <c r="H124">
        <f t="shared" si="3"/>
        <v>0.94774284680864407</v>
      </c>
      <c r="I124" t="str">
        <f t="shared" si="2"/>
        <v>B</v>
      </c>
    </row>
    <row r="125" spans="1:9" x14ac:dyDescent="0.25">
      <c r="A125">
        <v>813</v>
      </c>
      <c r="B125" t="s">
        <v>303</v>
      </c>
      <c r="C125" t="s">
        <v>457</v>
      </c>
      <c r="D125">
        <v>811</v>
      </c>
      <c r="E125">
        <v>53.399900000000002</v>
      </c>
      <c r="F125">
        <v>43307.318899999998</v>
      </c>
      <c r="G125">
        <f>F125/(SUM(F2:F220))</f>
        <v>2.2525586577789121E-3</v>
      </c>
      <c r="H125">
        <f t="shared" si="3"/>
        <v>0.94999540546642303</v>
      </c>
      <c r="I125" t="str">
        <f t="shared" si="2"/>
        <v>B</v>
      </c>
    </row>
    <row r="126" spans="1:9" x14ac:dyDescent="0.25">
      <c r="A126">
        <v>807</v>
      </c>
      <c r="B126" t="s">
        <v>297</v>
      </c>
      <c r="C126" t="s">
        <v>457</v>
      </c>
      <c r="D126">
        <v>782</v>
      </c>
      <c r="E126">
        <v>55.380099999999999</v>
      </c>
      <c r="F126">
        <v>43307.2382</v>
      </c>
      <c r="G126">
        <f>F126/(SUM(F2:F220))</f>
        <v>2.252554460301712E-3</v>
      </c>
      <c r="H126">
        <f t="shared" si="3"/>
        <v>0.95224795992672473</v>
      </c>
      <c r="I126" t="str">
        <f t="shared" si="2"/>
        <v>C</v>
      </c>
    </row>
    <row r="127" spans="1:9" x14ac:dyDescent="0.25">
      <c r="A127">
        <v>826</v>
      </c>
      <c r="B127" t="s">
        <v>316</v>
      </c>
      <c r="C127" t="s">
        <v>457</v>
      </c>
      <c r="D127">
        <v>799</v>
      </c>
      <c r="E127">
        <v>49.978900000000003</v>
      </c>
      <c r="F127">
        <v>39933.141100000001</v>
      </c>
      <c r="G127">
        <f>F127/(SUM(F2:F220))</f>
        <v>2.0770563729612898E-3</v>
      </c>
      <c r="H127">
        <f t="shared" si="3"/>
        <v>0.95432501629968602</v>
      </c>
      <c r="I127" t="str">
        <f t="shared" si="2"/>
        <v>C</v>
      </c>
    </row>
    <row r="128" spans="1:9" x14ac:dyDescent="0.25">
      <c r="A128">
        <v>995</v>
      </c>
      <c r="B128" t="s">
        <v>445</v>
      </c>
      <c r="C128" t="s">
        <v>457</v>
      </c>
      <c r="D128">
        <v>816</v>
      </c>
      <c r="E128">
        <v>44.950600000000001</v>
      </c>
      <c r="F128">
        <v>36679.689599999998</v>
      </c>
      <c r="G128">
        <f>F128/(SUM(F2:F220))</f>
        <v>1.9078334672230914E-3</v>
      </c>
      <c r="H128">
        <f t="shared" si="3"/>
        <v>0.95623284976690914</v>
      </c>
      <c r="I128" t="str">
        <f t="shared" si="2"/>
        <v>C</v>
      </c>
    </row>
    <row r="129" spans="1:9" x14ac:dyDescent="0.25">
      <c r="A129">
        <v>948</v>
      </c>
      <c r="B129" t="s">
        <v>398</v>
      </c>
      <c r="C129" t="s">
        <v>457</v>
      </c>
      <c r="D129">
        <v>767</v>
      </c>
      <c r="E129">
        <v>47.286000000000001</v>
      </c>
      <c r="F129">
        <v>36268.362000000001</v>
      </c>
      <c r="G129">
        <f>F129/(SUM(F2:F220))</f>
        <v>1.8864389415378863E-3</v>
      </c>
      <c r="H129">
        <f t="shared" si="3"/>
        <v>0.95811928870844698</v>
      </c>
      <c r="I129" t="str">
        <f t="shared" si="2"/>
        <v>C</v>
      </c>
    </row>
    <row r="130" spans="1:9" x14ac:dyDescent="0.25">
      <c r="A130">
        <v>806</v>
      </c>
      <c r="B130" t="s">
        <v>296</v>
      </c>
      <c r="C130" t="s">
        <v>457</v>
      </c>
      <c r="D130">
        <v>772</v>
      </c>
      <c r="E130">
        <v>45.416800000000002</v>
      </c>
      <c r="F130">
        <v>35061.7696</v>
      </c>
      <c r="G130">
        <f>F130/(SUM(F2:F220))</f>
        <v>1.8236800308949503E-3</v>
      </c>
      <c r="H130">
        <f t="shared" si="3"/>
        <v>0.95994296873934193</v>
      </c>
      <c r="I130" t="str">
        <f t="shared" ref="I130:I193" si="4">IF(H130&lt;=0.8,"A",IF(H130&lt;=0.95,"B","C"))</f>
        <v>C</v>
      </c>
    </row>
    <row r="131" spans="1:9" x14ac:dyDescent="0.25">
      <c r="A131">
        <v>945</v>
      </c>
      <c r="B131" t="s">
        <v>395</v>
      </c>
      <c r="C131" t="s">
        <v>457</v>
      </c>
      <c r="D131">
        <v>853</v>
      </c>
      <c r="E131">
        <v>40.621600000000001</v>
      </c>
      <c r="F131">
        <v>34650.224800000004</v>
      </c>
      <c r="G131">
        <f>F131/(SUM(F2:F220))</f>
        <v>1.8022742079105152E-3</v>
      </c>
      <c r="H131">
        <f t="shared" ref="H131:H194" si="5">H130+G131</f>
        <v>0.9617452429472525</v>
      </c>
      <c r="I131" t="str">
        <f t="shared" si="4"/>
        <v>C</v>
      </c>
    </row>
    <row r="132" spans="1:9" x14ac:dyDescent="0.25">
      <c r="A132">
        <v>907</v>
      </c>
      <c r="B132" t="s">
        <v>365</v>
      </c>
      <c r="C132" t="s">
        <v>457</v>
      </c>
      <c r="D132">
        <v>723</v>
      </c>
      <c r="E132">
        <v>47.286000000000001</v>
      </c>
      <c r="F132">
        <v>34187.777999999998</v>
      </c>
      <c r="G132">
        <f>F132/(SUM(F2:F220))</f>
        <v>1.7782208014757389E-3</v>
      </c>
      <c r="H132">
        <f t="shared" si="5"/>
        <v>0.96352346374872821</v>
      </c>
      <c r="I132" t="str">
        <f t="shared" si="4"/>
        <v>C</v>
      </c>
    </row>
    <row r="133" spans="1:9" x14ac:dyDescent="0.25">
      <c r="A133">
        <v>818</v>
      </c>
      <c r="B133" t="s">
        <v>308</v>
      </c>
      <c r="C133" t="s">
        <v>457</v>
      </c>
      <c r="D133">
        <v>888</v>
      </c>
      <c r="E133">
        <v>37.990900000000003</v>
      </c>
      <c r="F133">
        <v>33735.919199999997</v>
      </c>
      <c r="G133">
        <f>F133/(SUM(F2:F220))</f>
        <v>1.7547181123717594E-3</v>
      </c>
      <c r="H133">
        <f t="shared" si="5"/>
        <v>0.96527818186109993</v>
      </c>
      <c r="I133" t="str">
        <f t="shared" si="4"/>
        <v>C</v>
      </c>
    </row>
    <row r="134" spans="1:9" x14ac:dyDescent="0.25">
      <c r="A134">
        <v>940</v>
      </c>
      <c r="B134" t="s">
        <v>390</v>
      </c>
      <c r="C134" t="s">
        <v>457</v>
      </c>
      <c r="D134">
        <v>906</v>
      </c>
      <c r="E134">
        <v>35.959600000000002</v>
      </c>
      <c r="F134">
        <v>32579.3976</v>
      </c>
      <c r="G134">
        <f>F134/(SUM(F2:F220))</f>
        <v>1.6945635516841359E-3</v>
      </c>
      <c r="H134">
        <f t="shared" si="5"/>
        <v>0.96697274541278411</v>
      </c>
      <c r="I134" t="str">
        <f t="shared" si="4"/>
        <v>C</v>
      </c>
    </row>
    <row r="135" spans="1:9" x14ac:dyDescent="0.25">
      <c r="A135">
        <v>947</v>
      </c>
      <c r="B135" t="s">
        <v>397</v>
      </c>
      <c r="C135" t="s">
        <v>457</v>
      </c>
      <c r="D135">
        <v>792</v>
      </c>
      <c r="E135">
        <v>40.6571</v>
      </c>
      <c r="F135">
        <v>32200.423200000001</v>
      </c>
      <c r="G135">
        <f>F135/(SUM(F2:F220))</f>
        <v>1.6748518242560831E-3</v>
      </c>
      <c r="H135">
        <f t="shared" si="5"/>
        <v>0.96864759723704019</v>
      </c>
      <c r="I135" t="str">
        <f t="shared" si="4"/>
        <v>C</v>
      </c>
    </row>
    <row r="136" spans="1:9" x14ac:dyDescent="0.25">
      <c r="A136">
        <v>941</v>
      </c>
      <c r="B136" t="s">
        <v>391</v>
      </c>
      <c r="C136" t="s">
        <v>457</v>
      </c>
      <c r="D136">
        <v>885</v>
      </c>
      <c r="E136">
        <v>35.959600000000002</v>
      </c>
      <c r="F136">
        <v>31824.245999999999</v>
      </c>
      <c r="G136">
        <f>F136/(SUM(F2:F220))</f>
        <v>1.6552855885656294E-3</v>
      </c>
      <c r="H136">
        <f t="shared" si="5"/>
        <v>0.97030288282560584</v>
      </c>
      <c r="I136" t="str">
        <f t="shared" si="4"/>
        <v>C</v>
      </c>
    </row>
    <row r="137" spans="1:9" x14ac:dyDescent="0.25">
      <c r="A137">
        <v>823</v>
      </c>
      <c r="B137" t="s">
        <v>313</v>
      </c>
      <c r="C137" t="s">
        <v>457</v>
      </c>
      <c r="D137">
        <v>681</v>
      </c>
      <c r="E137">
        <v>38.958799999999997</v>
      </c>
      <c r="F137">
        <v>26530.942800000001</v>
      </c>
      <c r="G137">
        <f>F137/(SUM(F2:F220))</f>
        <v>1.3799631660683822E-3</v>
      </c>
      <c r="H137">
        <f t="shared" si="5"/>
        <v>0.9716828459916742</v>
      </c>
      <c r="I137" t="str">
        <f t="shared" si="4"/>
        <v>C</v>
      </c>
    </row>
    <row r="138" spans="1:9" x14ac:dyDescent="0.25">
      <c r="A138">
        <v>809</v>
      </c>
      <c r="B138" t="s">
        <v>299</v>
      </c>
      <c r="C138" t="s">
        <v>457</v>
      </c>
      <c r="D138">
        <v>850</v>
      </c>
      <c r="E138">
        <v>27.4925</v>
      </c>
      <c r="F138">
        <v>23368.625</v>
      </c>
      <c r="G138">
        <f>F138/(SUM(F2:F220))</f>
        <v>1.2154804292015115E-3</v>
      </c>
      <c r="H138">
        <f t="shared" si="5"/>
        <v>0.9728983264208757</v>
      </c>
      <c r="I138" t="str">
        <f t="shared" si="4"/>
        <v>C</v>
      </c>
    </row>
    <row r="139" spans="1:9" x14ac:dyDescent="0.25">
      <c r="A139">
        <v>916</v>
      </c>
      <c r="B139" t="s">
        <v>374</v>
      </c>
      <c r="C139" t="s">
        <v>457</v>
      </c>
      <c r="D139">
        <v>989</v>
      </c>
      <c r="E139">
        <v>23.372199999999999</v>
      </c>
      <c r="F139">
        <v>23115.105800000001</v>
      </c>
      <c r="G139">
        <f>F139/(SUM(F2:F220))</f>
        <v>1.2022940467752102E-3</v>
      </c>
      <c r="H139">
        <f t="shared" si="5"/>
        <v>0.97410062046765089</v>
      </c>
      <c r="I139" t="str">
        <f t="shared" si="4"/>
        <v>C</v>
      </c>
    </row>
    <row r="140" spans="1:9" x14ac:dyDescent="0.25">
      <c r="A140">
        <v>812</v>
      </c>
      <c r="B140" t="s">
        <v>302</v>
      </c>
      <c r="C140" t="s">
        <v>457</v>
      </c>
      <c r="D140">
        <v>822</v>
      </c>
      <c r="E140">
        <v>27.4925</v>
      </c>
      <c r="F140">
        <v>22598.834999999999</v>
      </c>
      <c r="G140">
        <f>F140/(SUM(F2:F220))</f>
        <v>1.1754410738866381E-3</v>
      </c>
      <c r="H140">
        <f t="shared" si="5"/>
        <v>0.97527606154153756</v>
      </c>
      <c r="I140" t="str">
        <f t="shared" si="4"/>
        <v>C</v>
      </c>
    </row>
    <row r="141" spans="1:9" x14ac:dyDescent="0.25">
      <c r="A141">
        <v>994</v>
      </c>
      <c r="B141" t="s">
        <v>444</v>
      </c>
      <c r="C141" t="s">
        <v>457</v>
      </c>
      <c r="D141">
        <v>814</v>
      </c>
      <c r="E141">
        <v>23.971599999999999</v>
      </c>
      <c r="F141">
        <v>19512.882399999999</v>
      </c>
      <c r="G141">
        <f>F141/(SUM(F2:F220))</f>
        <v>1.0149303467581262E-3</v>
      </c>
      <c r="H141">
        <f t="shared" si="5"/>
        <v>0.97629099188829571</v>
      </c>
      <c r="I141" t="str">
        <f t="shared" si="4"/>
        <v>C</v>
      </c>
    </row>
    <row r="142" spans="1:9" x14ac:dyDescent="0.25">
      <c r="A142">
        <v>815</v>
      </c>
      <c r="B142" t="s">
        <v>305</v>
      </c>
      <c r="C142" t="s">
        <v>457</v>
      </c>
      <c r="D142">
        <v>722</v>
      </c>
      <c r="E142">
        <v>26.970800000000001</v>
      </c>
      <c r="F142">
        <v>19472.917600000001</v>
      </c>
      <c r="G142">
        <f>F142/(SUM(F2:F220))</f>
        <v>1.0128516436997755E-3</v>
      </c>
      <c r="H142">
        <f t="shared" si="5"/>
        <v>0.97730384353199551</v>
      </c>
      <c r="I142" t="str">
        <f t="shared" si="4"/>
        <v>C</v>
      </c>
    </row>
    <row r="143" spans="1:9" x14ac:dyDescent="0.25">
      <c r="A143">
        <v>937</v>
      </c>
      <c r="B143" t="s">
        <v>387</v>
      </c>
      <c r="C143" t="s">
        <v>457</v>
      </c>
      <c r="D143">
        <v>503</v>
      </c>
      <c r="E143">
        <v>35.959600000000002</v>
      </c>
      <c r="F143">
        <v>18087.678800000002</v>
      </c>
      <c r="G143">
        <f>F143/(SUM(F2:F220))</f>
        <v>9.4080073564803586E-4</v>
      </c>
      <c r="H143">
        <f t="shared" si="5"/>
        <v>0.97824464426764357</v>
      </c>
      <c r="I143" t="str">
        <f t="shared" si="4"/>
        <v>C</v>
      </c>
    </row>
    <row r="144" spans="1:9" x14ac:dyDescent="0.25">
      <c r="A144">
        <v>808</v>
      </c>
      <c r="B144" t="s">
        <v>298</v>
      </c>
      <c r="C144" t="s">
        <v>457</v>
      </c>
      <c r="D144">
        <v>859</v>
      </c>
      <c r="E144">
        <v>19.7758</v>
      </c>
      <c r="F144">
        <v>16987.412199999999</v>
      </c>
      <c r="G144">
        <f>F144/(SUM(F2:F220))</f>
        <v>8.8357218586369499E-4</v>
      </c>
      <c r="H144">
        <f t="shared" si="5"/>
        <v>0.97912821645350723</v>
      </c>
      <c r="I144" t="str">
        <f t="shared" si="4"/>
        <v>C</v>
      </c>
    </row>
    <row r="145" spans="1:9" x14ac:dyDescent="0.25">
      <c r="A145">
        <v>811</v>
      </c>
      <c r="B145" t="s">
        <v>301</v>
      </c>
      <c r="C145" t="s">
        <v>457</v>
      </c>
      <c r="D145">
        <v>831</v>
      </c>
      <c r="E145">
        <v>19.7758</v>
      </c>
      <c r="F145">
        <v>16433.6898</v>
      </c>
      <c r="G145">
        <f>F145/(SUM(F2:F220))</f>
        <v>8.5477122986348149E-4</v>
      </c>
      <c r="H145">
        <f t="shared" si="5"/>
        <v>0.97998298768337067</v>
      </c>
      <c r="I145" t="str">
        <f t="shared" si="4"/>
        <v>C</v>
      </c>
    </row>
    <row r="146" spans="1:9" x14ac:dyDescent="0.25">
      <c r="A146">
        <v>946</v>
      </c>
      <c r="B146" t="s">
        <v>396</v>
      </c>
      <c r="C146" t="s">
        <v>457</v>
      </c>
      <c r="D146">
        <v>802</v>
      </c>
      <c r="E146">
        <v>20.463999999999999</v>
      </c>
      <c r="F146">
        <v>16412.128000000001</v>
      </c>
      <c r="G146">
        <f>F146/(SUM(F2:F220))</f>
        <v>8.5364972845215087E-4</v>
      </c>
      <c r="H146">
        <f t="shared" si="5"/>
        <v>0.98083663741182281</v>
      </c>
      <c r="I146" t="str">
        <f t="shared" si="4"/>
        <v>C</v>
      </c>
    </row>
    <row r="147" spans="1:9" x14ac:dyDescent="0.25">
      <c r="A147">
        <v>912</v>
      </c>
      <c r="B147" t="s">
        <v>370</v>
      </c>
      <c r="C147" t="s">
        <v>457</v>
      </c>
      <c r="D147">
        <v>901</v>
      </c>
      <c r="E147">
        <v>17.3782</v>
      </c>
      <c r="F147">
        <v>15657.7582</v>
      </c>
      <c r="G147">
        <f>F147/(SUM(F2:F220))</f>
        <v>8.1441242936927118E-4</v>
      </c>
      <c r="H147">
        <f t="shared" si="5"/>
        <v>0.98165104984119211</v>
      </c>
      <c r="I147" t="str">
        <f t="shared" si="4"/>
        <v>C</v>
      </c>
    </row>
    <row r="148" spans="1:9" x14ac:dyDescent="0.25">
      <c r="A148">
        <v>936</v>
      </c>
      <c r="B148" t="s">
        <v>386</v>
      </c>
      <c r="C148" t="s">
        <v>457</v>
      </c>
      <c r="D148">
        <v>507</v>
      </c>
      <c r="E148">
        <v>27.568000000000001</v>
      </c>
      <c r="F148">
        <v>13976.976000000001</v>
      </c>
      <c r="G148">
        <f>F148/(SUM(F2:F220))</f>
        <v>7.2698931954358575E-4</v>
      </c>
      <c r="H148">
        <f t="shared" si="5"/>
        <v>0.98237803916073574</v>
      </c>
      <c r="I148" t="str">
        <f t="shared" si="4"/>
        <v>C</v>
      </c>
    </row>
    <row r="149" spans="1:9" x14ac:dyDescent="0.25">
      <c r="A149">
        <v>939</v>
      </c>
      <c r="B149" t="s">
        <v>389</v>
      </c>
      <c r="C149" t="s">
        <v>457</v>
      </c>
      <c r="D149">
        <v>494</v>
      </c>
      <c r="E149">
        <v>27.568000000000001</v>
      </c>
      <c r="F149">
        <v>13618.592000000001</v>
      </c>
      <c r="G149">
        <f>F149/(SUM(F2:F220))</f>
        <v>7.0834856776041683E-4</v>
      </c>
      <c r="H149">
        <f t="shared" si="5"/>
        <v>0.9830863877284961</v>
      </c>
      <c r="I149" t="str">
        <f t="shared" si="4"/>
        <v>C</v>
      </c>
    </row>
    <row r="150" spans="1:9" x14ac:dyDescent="0.25">
      <c r="A150">
        <v>881</v>
      </c>
      <c r="B150" t="s">
        <v>360</v>
      </c>
      <c r="C150" t="s">
        <v>459</v>
      </c>
      <c r="D150">
        <v>324</v>
      </c>
      <c r="E150">
        <v>41.572299999999998</v>
      </c>
      <c r="F150">
        <v>13469.4252</v>
      </c>
      <c r="G150">
        <f>F150/(SUM(F2:F220))</f>
        <v>7.005899030513628E-4</v>
      </c>
      <c r="H150">
        <f t="shared" si="5"/>
        <v>0.98378697763154743</v>
      </c>
      <c r="I150" t="str">
        <f t="shared" si="4"/>
        <v>C</v>
      </c>
    </row>
    <row r="151" spans="1:9" x14ac:dyDescent="0.25">
      <c r="A151">
        <v>805</v>
      </c>
      <c r="B151" t="s">
        <v>295</v>
      </c>
      <c r="C151" t="s">
        <v>457</v>
      </c>
      <c r="D151">
        <v>761</v>
      </c>
      <c r="E151">
        <v>15.184799999999999</v>
      </c>
      <c r="F151">
        <v>11555.632799999999</v>
      </c>
      <c r="G151">
        <f>F151/(SUM(F2:F220))</f>
        <v>6.010471525577163E-4</v>
      </c>
      <c r="H151">
        <f t="shared" si="5"/>
        <v>0.98438802478410514</v>
      </c>
      <c r="I151" t="str">
        <f t="shared" si="4"/>
        <v>C</v>
      </c>
    </row>
    <row r="152" spans="1:9" x14ac:dyDescent="0.25">
      <c r="A152">
        <v>913</v>
      </c>
      <c r="B152" t="s">
        <v>371</v>
      </c>
      <c r="C152" t="s">
        <v>457</v>
      </c>
      <c r="D152">
        <v>467</v>
      </c>
      <c r="E152">
        <v>23.372199999999999</v>
      </c>
      <c r="F152">
        <v>10914.8174</v>
      </c>
      <c r="G152">
        <f>F152/(SUM(F2:F220))</f>
        <v>5.6771619802226808E-4</v>
      </c>
      <c r="H152">
        <f t="shared" si="5"/>
        <v>0.98495574098212746</v>
      </c>
      <c r="I152" t="str">
        <f t="shared" si="4"/>
        <v>C</v>
      </c>
    </row>
    <row r="153" spans="1:9" x14ac:dyDescent="0.25">
      <c r="A153">
        <v>911</v>
      </c>
      <c r="B153" t="s">
        <v>369</v>
      </c>
      <c r="C153" t="s">
        <v>457</v>
      </c>
      <c r="D153">
        <v>906</v>
      </c>
      <c r="E153">
        <v>12.0413</v>
      </c>
      <c r="F153">
        <v>10909.417799999999</v>
      </c>
      <c r="G153">
        <f>F153/(SUM(F2:F220))</f>
        <v>5.6743534674729931E-4</v>
      </c>
      <c r="H153">
        <f t="shared" si="5"/>
        <v>0.98552317632887476</v>
      </c>
      <c r="I153" t="str">
        <f t="shared" si="4"/>
        <v>C</v>
      </c>
    </row>
    <row r="154" spans="1:9" x14ac:dyDescent="0.25">
      <c r="A154">
        <v>852</v>
      </c>
      <c r="B154" t="s">
        <v>331</v>
      </c>
      <c r="C154" t="s">
        <v>459</v>
      </c>
      <c r="D154">
        <v>324</v>
      </c>
      <c r="E154">
        <v>30.933399999999999</v>
      </c>
      <c r="F154">
        <v>10022.4216</v>
      </c>
      <c r="G154">
        <f>F154/(SUM(F2:F220))</f>
        <v>5.2129970454001891E-4</v>
      </c>
      <c r="H154">
        <f t="shared" si="5"/>
        <v>0.98604447603341483</v>
      </c>
      <c r="I154" t="str">
        <f t="shared" si="4"/>
        <v>C</v>
      </c>
    </row>
    <row r="155" spans="1:9" x14ac:dyDescent="0.25">
      <c r="A155">
        <v>908</v>
      </c>
      <c r="B155" t="s">
        <v>366</v>
      </c>
      <c r="C155" t="s">
        <v>457</v>
      </c>
      <c r="D155">
        <v>809</v>
      </c>
      <c r="E155">
        <v>12.0413</v>
      </c>
      <c r="F155">
        <v>9741.4117000000006</v>
      </c>
      <c r="G155">
        <f>F155/(SUM(F2:F220))</f>
        <v>5.0668343876221326E-4</v>
      </c>
      <c r="H155">
        <f t="shared" si="5"/>
        <v>0.98655115947217709</v>
      </c>
      <c r="I155" t="str">
        <f t="shared" si="4"/>
        <v>C</v>
      </c>
    </row>
    <row r="156" spans="1:9" x14ac:dyDescent="0.25">
      <c r="A156">
        <v>716</v>
      </c>
      <c r="B156" t="s">
        <v>234</v>
      </c>
      <c r="C156" t="s">
        <v>459</v>
      </c>
      <c r="D156">
        <v>252</v>
      </c>
      <c r="E156">
        <v>38.4923</v>
      </c>
      <c r="F156">
        <v>9700.0596000000005</v>
      </c>
      <c r="G156">
        <f>F156/(SUM(F2:F220))</f>
        <v>5.0453257758589743E-4</v>
      </c>
      <c r="H156">
        <f t="shared" si="5"/>
        <v>0.98705569204976296</v>
      </c>
      <c r="I156" t="str">
        <f t="shared" si="4"/>
        <v>C</v>
      </c>
    </row>
    <row r="157" spans="1:9" x14ac:dyDescent="0.25">
      <c r="A157">
        <v>914</v>
      </c>
      <c r="B157" t="s">
        <v>372</v>
      </c>
      <c r="C157" t="s">
        <v>457</v>
      </c>
      <c r="D157">
        <v>801</v>
      </c>
      <c r="E157">
        <v>12.0413</v>
      </c>
      <c r="F157">
        <v>9645.0812999999998</v>
      </c>
      <c r="G157">
        <f>F157/(SUM(F2:F220))</f>
        <v>5.0167297212426801E-4</v>
      </c>
      <c r="H157">
        <f t="shared" si="5"/>
        <v>0.98755736502188718</v>
      </c>
      <c r="I157" t="str">
        <f t="shared" si="4"/>
        <v>C</v>
      </c>
    </row>
    <row r="158" spans="1:9" x14ac:dyDescent="0.25">
      <c r="A158">
        <v>935</v>
      </c>
      <c r="B158" t="s">
        <v>385</v>
      </c>
      <c r="C158" t="s">
        <v>457</v>
      </c>
      <c r="D158">
        <v>512</v>
      </c>
      <c r="E158">
        <v>17.977599999999999</v>
      </c>
      <c r="F158">
        <v>9204.5311999999994</v>
      </c>
      <c r="G158">
        <f>F158/(SUM(F2:F220))</f>
        <v>4.7875848637113664E-4</v>
      </c>
      <c r="H158">
        <f t="shared" si="5"/>
        <v>0.98803612350825831</v>
      </c>
      <c r="I158" t="str">
        <f t="shared" si="4"/>
        <v>C</v>
      </c>
    </row>
    <row r="159" spans="1:9" x14ac:dyDescent="0.25">
      <c r="A159">
        <v>938</v>
      </c>
      <c r="B159" t="s">
        <v>388</v>
      </c>
      <c r="C159" t="s">
        <v>457</v>
      </c>
      <c r="D159">
        <v>498</v>
      </c>
      <c r="E159">
        <v>17.977599999999999</v>
      </c>
      <c r="F159">
        <v>8952.8448000000008</v>
      </c>
      <c r="G159">
        <f>F159/(SUM(F2:F220))</f>
        <v>4.656674340094259E-4</v>
      </c>
      <c r="H159">
        <f t="shared" si="5"/>
        <v>0.98850179094226776</v>
      </c>
      <c r="I159" t="str">
        <f t="shared" si="4"/>
        <v>C</v>
      </c>
    </row>
    <row r="160" spans="1:9" x14ac:dyDescent="0.25">
      <c r="A160">
        <v>879</v>
      </c>
      <c r="B160" t="s">
        <v>358</v>
      </c>
      <c r="C160" t="s">
        <v>460</v>
      </c>
      <c r="D160">
        <v>144</v>
      </c>
      <c r="E160">
        <v>59.466000000000001</v>
      </c>
      <c r="F160">
        <v>8563.1039999999994</v>
      </c>
      <c r="G160">
        <f>F160/(SUM(F2:F220))</f>
        <v>4.453957100692565E-4</v>
      </c>
      <c r="H160">
        <f t="shared" si="5"/>
        <v>0.98894718665233705</v>
      </c>
      <c r="I160" t="str">
        <f t="shared" si="4"/>
        <v>C</v>
      </c>
    </row>
    <row r="161" spans="1:9" x14ac:dyDescent="0.25">
      <c r="A161">
        <v>715</v>
      </c>
      <c r="B161" t="s">
        <v>233</v>
      </c>
      <c r="C161" t="s">
        <v>459</v>
      </c>
      <c r="D161">
        <v>216</v>
      </c>
      <c r="E161">
        <v>38.4923</v>
      </c>
      <c r="F161">
        <v>8314.3367999999991</v>
      </c>
      <c r="G161">
        <f>F161/(SUM(F2:F220))</f>
        <v>4.3245649507362631E-4</v>
      </c>
      <c r="H161">
        <f t="shared" si="5"/>
        <v>0.98937964314741067</v>
      </c>
      <c r="I161" t="str">
        <f t="shared" si="4"/>
        <v>C</v>
      </c>
    </row>
    <row r="162" spans="1:9" x14ac:dyDescent="0.25">
      <c r="A162">
        <v>910</v>
      </c>
      <c r="B162" t="s">
        <v>368</v>
      </c>
      <c r="C162" t="s">
        <v>457</v>
      </c>
      <c r="D162">
        <v>355</v>
      </c>
      <c r="E162">
        <v>23.372199999999999</v>
      </c>
      <c r="F162">
        <v>8297.1309999999994</v>
      </c>
      <c r="G162">
        <f>F162/(SUM(F2:F220))</f>
        <v>4.3156156380707742E-4</v>
      </c>
      <c r="H162">
        <f t="shared" si="5"/>
        <v>0.98981120471121775</v>
      </c>
      <c r="I162" t="str">
        <f t="shared" si="4"/>
        <v>C</v>
      </c>
    </row>
    <row r="163" spans="1:9" x14ac:dyDescent="0.25">
      <c r="A163">
        <v>869</v>
      </c>
      <c r="B163" t="s">
        <v>348</v>
      </c>
      <c r="C163" t="s">
        <v>459</v>
      </c>
      <c r="D163">
        <v>288</v>
      </c>
      <c r="E163">
        <v>26.176300000000001</v>
      </c>
      <c r="F163">
        <v>7538.7744000000002</v>
      </c>
      <c r="G163">
        <f>F163/(SUM(F2:F220))</f>
        <v>3.9211689790757341E-4</v>
      </c>
      <c r="H163">
        <f t="shared" si="5"/>
        <v>0.99020332160912528</v>
      </c>
      <c r="I163" t="str">
        <f t="shared" si="4"/>
        <v>C</v>
      </c>
    </row>
    <row r="164" spans="1:9" x14ac:dyDescent="0.25">
      <c r="A164">
        <v>929</v>
      </c>
      <c r="B164" t="s">
        <v>379</v>
      </c>
      <c r="C164" t="s">
        <v>460</v>
      </c>
      <c r="D164">
        <v>669</v>
      </c>
      <c r="E164">
        <v>11.2163</v>
      </c>
      <c r="F164">
        <v>7503.7047000000002</v>
      </c>
      <c r="G164">
        <f>F164/(SUM(F2:F220))</f>
        <v>3.9029280539002186E-4</v>
      </c>
      <c r="H164">
        <f t="shared" si="5"/>
        <v>0.99059361441451532</v>
      </c>
      <c r="I164" t="str">
        <f t="shared" si="4"/>
        <v>C</v>
      </c>
    </row>
    <row r="165" spans="1:9" x14ac:dyDescent="0.25">
      <c r="A165">
        <v>909</v>
      </c>
      <c r="B165" t="s">
        <v>367</v>
      </c>
      <c r="C165" t="s">
        <v>457</v>
      </c>
      <c r="D165">
        <v>422</v>
      </c>
      <c r="E165">
        <v>17.3782</v>
      </c>
      <c r="F165">
        <v>7333.6004000000003</v>
      </c>
      <c r="G165">
        <f>F165/(SUM(F2:F220))</f>
        <v>3.8144511120292171E-4</v>
      </c>
      <c r="H165">
        <f t="shared" si="5"/>
        <v>0.99097505952571829</v>
      </c>
      <c r="I165" t="str">
        <f t="shared" si="4"/>
        <v>C</v>
      </c>
    </row>
    <row r="166" spans="1:9" x14ac:dyDescent="0.25">
      <c r="A166">
        <v>841</v>
      </c>
      <c r="B166" t="s">
        <v>320</v>
      </c>
      <c r="C166" t="s">
        <v>459</v>
      </c>
      <c r="D166">
        <v>288</v>
      </c>
      <c r="E166">
        <v>24.745899999999999</v>
      </c>
      <c r="F166">
        <v>7126.8191999999999</v>
      </c>
      <c r="G166">
        <f>F166/(SUM(F2:F220))</f>
        <v>3.7068972864503461E-4</v>
      </c>
      <c r="H166">
        <f t="shared" si="5"/>
        <v>0.99134574925436336</v>
      </c>
      <c r="I166" t="str">
        <f t="shared" si="4"/>
        <v>C</v>
      </c>
    </row>
    <row r="167" spans="1:9" x14ac:dyDescent="0.25">
      <c r="A167">
        <v>915</v>
      </c>
      <c r="B167" t="s">
        <v>373</v>
      </c>
      <c r="C167" t="s">
        <v>457</v>
      </c>
      <c r="D167">
        <v>402</v>
      </c>
      <c r="E167">
        <v>17.3782</v>
      </c>
      <c r="F167">
        <v>6986.0364</v>
      </c>
      <c r="G167">
        <f>F167/(SUM(F2:F220))</f>
        <v>3.6336714384733299E-4</v>
      </c>
      <c r="H167">
        <f t="shared" si="5"/>
        <v>0.99170911639821069</v>
      </c>
      <c r="I167" t="str">
        <f t="shared" si="4"/>
        <v>C</v>
      </c>
    </row>
    <row r="168" spans="1:9" x14ac:dyDescent="0.25">
      <c r="A168">
        <v>714</v>
      </c>
      <c r="B168" t="s">
        <v>232</v>
      </c>
      <c r="C168" t="s">
        <v>459</v>
      </c>
      <c r="D168">
        <v>180</v>
      </c>
      <c r="E168">
        <v>38.4923</v>
      </c>
      <c r="F168">
        <v>6928.6139999999996</v>
      </c>
      <c r="G168">
        <f>F168/(SUM(F2:F220))</f>
        <v>3.6038041256135524E-4</v>
      </c>
      <c r="H168">
        <f t="shared" si="5"/>
        <v>0.99206949681077206</v>
      </c>
      <c r="I168" t="str">
        <f t="shared" si="4"/>
        <v>C</v>
      </c>
    </row>
    <row r="169" spans="1:9" x14ac:dyDescent="0.25">
      <c r="A169">
        <v>868</v>
      </c>
      <c r="B169" t="s">
        <v>347</v>
      </c>
      <c r="C169" t="s">
        <v>459</v>
      </c>
      <c r="D169">
        <v>252</v>
      </c>
      <c r="E169">
        <v>26.176300000000001</v>
      </c>
      <c r="F169">
        <v>6596.4276</v>
      </c>
      <c r="G169">
        <f>F169/(SUM(F2:F220))</f>
        <v>3.4310228566912672E-4</v>
      </c>
      <c r="H169">
        <f t="shared" si="5"/>
        <v>0.99241259909644119</v>
      </c>
      <c r="I169" t="str">
        <f t="shared" si="4"/>
        <v>C</v>
      </c>
    </row>
    <row r="170" spans="1:9" x14ac:dyDescent="0.25">
      <c r="A170">
        <v>930</v>
      </c>
      <c r="B170" t="s">
        <v>380</v>
      </c>
      <c r="C170" t="s">
        <v>460</v>
      </c>
      <c r="D170">
        <v>499</v>
      </c>
      <c r="E170">
        <v>13.09</v>
      </c>
      <c r="F170">
        <v>6531.91</v>
      </c>
      <c r="G170">
        <f>F170/(SUM(F2:F220))</f>
        <v>3.3974650927496355E-4</v>
      </c>
      <c r="H170">
        <f t="shared" si="5"/>
        <v>0.99275234560571612</v>
      </c>
      <c r="I170" t="str">
        <f t="shared" si="4"/>
        <v>C</v>
      </c>
    </row>
    <row r="171" spans="1:9" x14ac:dyDescent="0.25">
      <c r="A171">
        <v>933</v>
      </c>
      <c r="B171" t="s">
        <v>383</v>
      </c>
      <c r="C171" t="s">
        <v>460</v>
      </c>
      <c r="D171">
        <v>527</v>
      </c>
      <c r="E171">
        <v>12.192399999999999</v>
      </c>
      <c r="F171">
        <v>6425.3948</v>
      </c>
      <c r="G171">
        <f>F171/(SUM(F2:F220))</f>
        <v>3.3420629708821805E-4</v>
      </c>
      <c r="H171">
        <f t="shared" si="5"/>
        <v>0.99308655190280437</v>
      </c>
      <c r="I171" t="str">
        <f t="shared" si="4"/>
        <v>C</v>
      </c>
    </row>
    <row r="172" spans="1:9" x14ac:dyDescent="0.25">
      <c r="A172">
        <v>866</v>
      </c>
      <c r="B172" t="s">
        <v>345</v>
      </c>
      <c r="C172" t="s">
        <v>459</v>
      </c>
      <c r="D172">
        <v>252</v>
      </c>
      <c r="E172">
        <v>23.748999999999999</v>
      </c>
      <c r="F172">
        <v>5984.7479999999996</v>
      </c>
      <c r="G172">
        <f>F172/(SUM(F2:F220))</f>
        <v>3.1128678164431527E-4</v>
      </c>
      <c r="H172">
        <f t="shared" si="5"/>
        <v>0.99339783868444864</v>
      </c>
      <c r="I172" t="str">
        <f t="shared" si="4"/>
        <v>C</v>
      </c>
    </row>
    <row r="173" spans="1:9" x14ac:dyDescent="0.25">
      <c r="A173">
        <v>928</v>
      </c>
      <c r="B173" t="s">
        <v>378</v>
      </c>
      <c r="C173" t="s">
        <v>460</v>
      </c>
      <c r="D173">
        <v>609</v>
      </c>
      <c r="E173">
        <v>9.3462999999999994</v>
      </c>
      <c r="F173">
        <v>5691.8967000000002</v>
      </c>
      <c r="G173">
        <f>F173/(SUM(F2:F220))</f>
        <v>2.960546050050727E-4</v>
      </c>
      <c r="H173">
        <f t="shared" si="5"/>
        <v>0.99369389328945368</v>
      </c>
      <c r="I173" t="str">
        <f t="shared" si="4"/>
        <v>C</v>
      </c>
    </row>
    <row r="174" spans="1:9" x14ac:dyDescent="0.25">
      <c r="A174">
        <v>867</v>
      </c>
      <c r="B174" t="s">
        <v>346</v>
      </c>
      <c r="C174" t="s">
        <v>459</v>
      </c>
      <c r="D174">
        <v>216</v>
      </c>
      <c r="E174">
        <v>26.176300000000001</v>
      </c>
      <c r="F174">
        <v>5654.0807999999997</v>
      </c>
      <c r="G174">
        <f>F174/(SUM(F2:F220))</f>
        <v>2.9408767343068004E-4</v>
      </c>
      <c r="H174">
        <f t="shared" si="5"/>
        <v>0.99398798096288432</v>
      </c>
      <c r="I174" t="str">
        <f t="shared" si="4"/>
        <v>C</v>
      </c>
    </row>
    <row r="175" spans="1:9" x14ac:dyDescent="0.25">
      <c r="A175">
        <v>713</v>
      </c>
      <c r="B175" t="s">
        <v>231</v>
      </c>
      <c r="C175" t="s">
        <v>459</v>
      </c>
      <c r="D175">
        <v>144</v>
      </c>
      <c r="E175">
        <v>38.4923</v>
      </c>
      <c r="F175">
        <v>5542.8912</v>
      </c>
      <c r="G175">
        <f>F175/(SUM(F2:F220))</f>
        <v>2.8830433004908422E-4</v>
      </c>
      <c r="H175">
        <f t="shared" si="5"/>
        <v>0.99427628529293344</v>
      </c>
      <c r="I175" t="str">
        <f t="shared" si="4"/>
        <v>C</v>
      </c>
    </row>
    <row r="176" spans="1:9" x14ac:dyDescent="0.25">
      <c r="A176">
        <v>932</v>
      </c>
      <c r="B176" t="s">
        <v>382</v>
      </c>
      <c r="C176" t="s">
        <v>460</v>
      </c>
      <c r="D176">
        <v>574</v>
      </c>
      <c r="E176">
        <v>9.3462999999999994</v>
      </c>
      <c r="F176">
        <v>5364.7762000000002</v>
      </c>
      <c r="G176">
        <f>F176/(SUM(F2:F220))</f>
        <v>2.790399725335168E-4</v>
      </c>
      <c r="H176">
        <f t="shared" si="5"/>
        <v>0.99455532526546697</v>
      </c>
      <c r="I176" t="str">
        <f t="shared" si="4"/>
        <v>C</v>
      </c>
    </row>
    <row r="177" spans="1:9" x14ac:dyDescent="0.25">
      <c r="A177">
        <v>857</v>
      </c>
      <c r="B177" t="s">
        <v>336</v>
      </c>
      <c r="C177" t="s">
        <v>459</v>
      </c>
      <c r="D177">
        <v>144</v>
      </c>
      <c r="E177">
        <v>37.120899999999999</v>
      </c>
      <c r="F177">
        <v>5345.4096</v>
      </c>
      <c r="G177">
        <f>F177/(SUM(F2:F220))</f>
        <v>2.7803265082416615E-4</v>
      </c>
      <c r="H177">
        <f t="shared" si="5"/>
        <v>0.99483335791629113</v>
      </c>
      <c r="I177" t="str">
        <f t="shared" si="4"/>
        <v>C</v>
      </c>
    </row>
    <row r="178" spans="1:9" x14ac:dyDescent="0.25">
      <c r="A178">
        <v>952</v>
      </c>
      <c r="B178" t="s">
        <v>402</v>
      </c>
      <c r="C178" t="s">
        <v>457</v>
      </c>
      <c r="D178">
        <v>589</v>
      </c>
      <c r="E178">
        <v>8.9865999999999993</v>
      </c>
      <c r="F178">
        <v>5293.1073999999999</v>
      </c>
      <c r="G178">
        <f>F178/(SUM(F2:F220))</f>
        <v>2.7531223828366867E-4</v>
      </c>
      <c r="H178">
        <f t="shared" si="5"/>
        <v>0.99510867015457483</v>
      </c>
      <c r="I178" t="str">
        <f t="shared" si="4"/>
        <v>C</v>
      </c>
    </row>
    <row r="179" spans="1:9" x14ac:dyDescent="0.25">
      <c r="A179">
        <v>934</v>
      </c>
      <c r="B179" t="s">
        <v>384</v>
      </c>
      <c r="C179" t="s">
        <v>460</v>
      </c>
      <c r="D179">
        <v>482</v>
      </c>
      <c r="E179">
        <v>10.8423</v>
      </c>
      <c r="F179">
        <v>5225.9885999999997</v>
      </c>
      <c r="G179">
        <f>F179/(SUM(F2:F220))</f>
        <v>2.7182116476815414E-4</v>
      </c>
      <c r="H179">
        <f t="shared" si="5"/>
        <v>0.99538049131934303</v>
      </c>
      <c r="I179" t="str">
        <f t="shared" si="4"/>
        <v>C</v>
      </c>
    </row>
    <row r="180" spans="1:9" x14ac:dyDescent="0.25">
      <c r="A180">
        <v>865</v>
      </c>
      <c r="B180" t="s">
        <v>344</v>
      </c>
      <c r="C180" t="s">
        <v>459</v>
      </c>
      <c r="D180">
        <v>216</v>
      </c>
      <c r="E180">
        <v>23.748999999999999</v>
      </c>
      <c r="F180">
        <v>5129.7839999999997</v>
      </c>
      <c r="G180">
        <f>F180/(SUM(F2:F220))</f>
        <v>2.6681724140941311E-4</v>
      </c>
      <c r="H180">
        <f t="shared" si="5"/>
        <v>0.99564730856075245</v>
      </c>
      <c r="I180" t="str">
        <f t="shared" si="4"/>
        <v>C</v>
      </c>
    </row>
    <row r="181" spans="1:9" x14ac:dyDescent="0.25">
      <c r="A181">
        <v>851</v>
      </c>
      <c r="B181" t="s">
        <v>330</v>
      </c>
      <c r="C181" t="s">
        <v>459</v>
      </c>
      <c r="D181">
        <v>180</v>
      </c>
      <c r="E181">
        <v>24.745899999999999</v>
      </c>
      <c r="F181">
        <v>4454.2619999999997</v>
      </c>
      <c r="G181">
        <f>F181/(SUM(F2:F220))</f>
        <v>2.3168108040314662E-4</v>
      </c>
      <c r="H181">
        <f t="shared" si="5"/>
        <v>0.99587898964115562</v>
      </c>
      <c r="I181" t="str">
        <f t="shared" si="4"/>
        <v>C</v>
      </c>
    </row>
    <row r="182" spans="1:9" x14ac:dyDescent="0.25">
      <c r="A182">
        <v>864</v>
      </c>
      <c r="B182" t="s">
        <v>343</v>
      </c>
      <c r="C182" t="s">
        <v>459</v>
      </c>
      <c r="D182">
        <v>180</v>
      </c>
      <c r="E182">
        <v>23.748999999999999</v>
      </c>
      <c r="F182">
        <v>4274.82</v>
      </c>
      <c r="G182">
        <f>F182/(SUM(F2:F220))</f>
        <v>2.2234770117451091E-4</v>
      </c>
      <c r="H182">
        <f t="shared" si="5"/>
        <v>0.99610133734233008</v>
      </c>
      <c r="I182" t="str">
        <f t="shared" si="4"/>
        <v>C</v>
      </c>
    </row>
    <row r="183" spans="1:9" x14ac:dyDescent="0.25">
      <c r="A183">
        <v>708</v>
      </c>
      <c r="B183" t="s">
        <v>226</v>
      </c>
      <c r="C183" t="s">
        <v>460</v>
      </c>
      <c r="D183">
        <v>324</v>
      </c>
      <c r="E183">
        <v>13.0863</v>
      </c>
      <c r="F183">
        <v>4239.9611999999997</v>
      </c>
      <c r="G183">
        <f>F183/(SUM(F2:F220))</f>
        <v>2.2053457827209583E-4</v>
      </c>
      <c r="H183">
        <f t="shared" si="5"/>
        <v>0.99632187192060218</v>
      </c>
      <c r="I183" t="str">
        <f t="shared" si="4"/>
        <v>C</v>
      </c>
    </row>
    <row r="184" spans="1:9" x14ac:dyDescent="0.25">
      <c r="A184">
        <v>856</v>
      </c>
      <c r="B184" t="s">
        <v>335</v>
      </c>
      <c r="C184" t="s">
        <v>459</v>
      </c>
      <c r="D184">
        <v>108</v>
      </c>
      <c r="E184">
        <v>37.120899999999999</v>
      </c>
      <c r="F184">
        <v>4009.0572000000002</v>
      </c>
      <c r="G184">
        <f>F184/(SUM(F2:F220))</f>
        <v>2.0852448811812461E-4</v>
      </c>
      <c r="H184">
        <f t="shared" si="5"/>
        <v>0.99653039640872032</v>
      </c>
      <c r="I184" t="str">
        <f t="shared" si="4"/>
        <v>C</v>
      </c>
    </row>
    <row r="185" spans="1:9" x14ac:dyDescent="0.25">
      <c r="A185">
        <v>848</v>
      </c>
      <c r="B185" t="s">
        <v>327</v>
      </c>
      <c r="C185" t="s">
        <v>460</v>
      </c>
      <c r="D185">
        <v>216</v>
      </c>
      <c r="E185">
        <v>18.558399999999999</v>
      </c>
      <c r="F185">
        <v>4008.6143999999999</v>
      </c>
      <c r="G185">
        <f>F185/(SUM(F2:F220))</f>
        <v>2.0850145660753934E-4</v>
      </c>
      <c r="H185">
        <f t="shared" si="5"/>
        <v>0.99673889786532788</v>
      </c>
      <c r="I185" t="str">
        <f t="shared" si="4"/>
        <v>C</v>
      </c>
    </row>
    <row r="186" spans="1:9" x14ac:dyDescent="0.25">
      <c r="A186">
        <v>931</v>
      </c>
      <c r="B186" t="s">
        <v>381</v>
      </c>
      <c r="C186" t="s">
        <v>460</v>
      </c>
      <c r="D186">
        <v>488</v>
      </c>
      <c r="E186">
        <v>8.0373000000000001</v>
      </c>
      <c r="F186">
        <v>3922.2024000000001</v>
      </c>
      <c r="G186">
        <f>F186/(SUM(F2:F220))</f>
        <v>2.0400687916243245E-4</v>
      </c>
      <c r="H186">
        <f t="shared" si="5"/>
        <v>0.99694290474449032</v>
      </c>
      <c r="I186" t="str">
        <f t="shared" si="4"/>
        <v>C</v>
      </c>
    </row>
    <row r="187" spans="1:9" x14ac:dyDescent="0.25">
      <c r="A187">
        <v>707</v>
      </c>
      <c r="B187" t="s">
        <v>224</v>
      </c>
      <c r="C187" t="s">
        <v>460</v>
      </c>
      <c r="D187">
        <v>288</v>
      </c>
      <c r="E187">
        <v>13.0863</v>
      </c>
      <c r="F187">
        <v>3768.8544000000002</v>
      </c>
      <c r="G187">
        <f>F187/(SUM(F2:F220))</f>
        <v>1.9603073624186297E-4</v>
      </c>
      <c r="H187">
        <f t="shared" si="5"/>
        <v>0.99713893548073218</v>
      </c>
      <c r="I187" t="str">
        <f t="shared" si="4"/>
        <v>C</v>
      </c>
    </row>
    <row r="188" spans="1:9" x14ac:dyDescent="0.25">
      <c r="A188">
        <v>842</v>
      </c>
      <c r="B188" t="s">
        <v>321</v>
      </c>
      <c r="C188" t="s">
        <v>460</v>
      </c>
      <c r="D188">
        <v>72</v>
      </c>
      <c r="E188">
        <v>51.5625</v>
      </c>
      <c r="F188">
        <v>3712.5</v>
      </c>
      <c r="G188">
        <f>F188/(SUM(F2:F220))</f>
        <v>1.9309955521176839E-4</v>
      </c>
      <c r="H188">
        <f t="shared" si="5"/>
        <v>0.99733203503594392</v>
      </c>
      <c r="I188" t="str">
        <f t="shared" si="4"/>
        <v>C</v>
      </c>
    </row>
    <row r="189" spans="1:9" x14ac:dyDescent="0.25">
      <c r="A189">
        <v>850</v>
      </c>
      <c r="B189" t="s">
        <v>329</v>
      </c>
      <c r="C189" t="s">
        <v>459</v>
      </c>
      <c r="D189">
        <v>144</v>
      </c>
      <c r="E189">
        <v>24.745899999999999</v>
      </c>
      <c r="F189">
        <v>3563.4096</v>
      </c>
      <c r="G189">
        <f>F189/(SUM(F2:F220))</f>
        <v>1.853448643225173E-4</v>
      </c>
      <c r="H189">
        <f t="shared" si="5"/>
        <v>0.99751737990026645</v>
      </c>
      <c r="I189" t="str">
        <f t="shared" si="4"/>
        <v>C</v>
      </c>
    </row>
    <row r="190" spans="1:9" x14ac:dyDescent="0.25">
      <c r="A190">
        <v>845</v>
      </c>
      <c r="B190" t="s">
        <v>324</v>
      </c>
      <c r="C190" t="s">
        <v>460</v>
      </c>
      <c r="D190">
        <v>324</v>
      </c>
      <c r="E190">
        <v>10.308400000000001</v>
      </c>
      <c r="F190">
        <v>3339.9216000000001</v>
      </c>
      <c r="G190">
        <f>F190/(SUM(F2:F220))</f>
        <v>1.7372050515883578E-4</v>
      </c>
      <c r="H190">
        <f t="shared" si="5"/>
        <v>0.9976911004054253</v>
      </c>
      <c r="I190" t="str">
        <f t="shared" si="4"/>
        <v>C</v>
      </c>
    </row>
    <row r="191" spans="1:9" x14ac:dyDescent="0.25">
      <c r="A191">
        <v>884</v>
      </c>
      <c r="B191" t="s">
        <v>363</v>
      </c>
      <c r="C191" t="s">
        <v>459</v>
      </c>
      <c r="D191">
        <v>72</v>
      </c>
      <c r="E191">
        <v>41.572299999999998</v>
      </c>
      <c r="F191">
        <v>2993.2055999999998</v>
      </c>
      <c r="G191">
        <f>F191/(SUM(F2:F220))</f>
        <v>1.5568664512252508E-4</v>
      </c>
      <c r="H191">
        <f t="shared" si="5"/>
        <v>0.99784678705054786</v>
      </c>
      <c r="I191" t="str">
        <f t="shared" si="4"/>
        <v>C</v>
      </c>
    </row>
    <row r="192" spans="1:9" x14ac:dyDescent="0.25">
      <c r="A192">
        <v>858</v>
      </c>
      <c r="B192" t="s">
        <v>337</v>
      </c>
      <c r="C192" t="s">
        <v>459</v>
      </c>
      <c r="D192">
        <v>324</v>
      </c>
      <c r="E192">
        <v>9.1593</v>
      </c>
      <c r="F192">
        <v>2967.6131999999998</v>
      </c>
      <c r="G192">
        <f>F192/(SUM(F2:F220))</f>
        <v>1.5435549870991856E-4</v>
      </c>
      <c r="H192">
        <f t="shared" si="5"/>
        <v>0.99800114254925776</v>
      </c>
      <c r="I192" t="str">
        <f t="shared" si="4"/>
        <v>C</v>
      </c>
    </row>
    <row r="193" spans="1:9" x14ac:dyDescent="0.25">
      <c r="A193">
        <v>711</v>
      </c>
      <c r="B193" t="s">
        <v>229</v>
      </c>
      <c r="C193" t="s">
        <v>460</v>
      </c>
      <c r="D193">
        <v>216</v>
      </c>
      <c r="E193">
        <v>13.0863</v>
      </c>
      <c r="F193">
        <v>2826.6408000000001</v>
      </c>
      <c r="G193">
        <f>F193/(SUM(F2:F220))</f>
        <v>1.4702305218139723E-4</v>
      </c>
      <c r="H193">
        <f t="shared" si="5"/>
        <v>0.99814816560143915</v>
      </c>
      <c r="I193" t="str">
        <f t="shared" si="4"/>
        <v>C</v>
      </c>
    </row>
    <row r="194" spans="1:9" x14ac:dyDescent="0.25">
      <c r="A194">
        <v>855</v>
      </c>
      <c r="B194" t="s">
        <v>334</v>
      </c>
      <c r="C194" t="s">
        <v>459</v>
      </c>
      <c r="D194">
        <v>72</v>
      </c>
      <c r="E194">
        <v>37.120899999999999</v>
      </c>
      <c r="F194">
        <v>2672.7048</v>
      </c>
      <c r="G194">
        <f>F194/(SUM(F2:F220))</f>
        <v>1.3901632541208307E-4</v>
      </c>
      <c r="H194">
        <f t="shared" si="5"/>
        <v>0.99828718192685129</v>
      </c>
      <c r="I194" t="str">
        <f t="shared" ref="I194:I220" si="6">IF(H194&lt;=0.8,"A",IF(H194&lt;=0.95,"B","C"))</f>
        <v>C</v>
      </c>
    </row>
    <row r="195" spans="1:9" x14ac:dyDescent="0.25">
      <c r="A195">
        <v>849</v>
      </c>
      <c r="B195" t="s">
        <v>328</v>
      </c>
      <c r="C195" t="s">
        <v>459</v>
      </c>
      <c r="D195">
        <v>108</v>
      </c>
      <c r="E195">
        <v>24.745899999999999</v>
      </c>
      <c r="F195">
        <v>2672.5572000000002</v>
      </c>
      <c r="G195">
        <f>F195/(SUM(F2:F220))</f>
        <v>1.3900864824188799E-4</v>
      </c>
      <c r="H195">
        <f t="shared" ref="H195:H220" si="7">H194+G195</f>
        <v>0.99842619057509319</v>
      </c>
      <c r="I195" t="str">
        <f t="shared" si="6"/>
        <v>C</v>
      </c>
    </row>
    <row r="196" spans="1:9" x14ac:dyDescent="0.25">
      <c r="A196">
        <v>843</v>
      </c>
      <c r="B196" t="s">
        <v>322</v>
      </c>
      <c r="C196" t="s">
        <v>460</v>
      </c>
      <c r="D196">
        <v>252</v>
      </c>
      <c r="E196">
        <v>10.3125</v>
      </c>
      <c r="F196">
        <v>2598.75</v>
      </c>
      <c r="G196">
        <f>F196/(SUM(F2:F220))</f>
        <v>1.3516968864823789E-4</v>
      </c>
      <c r="H196">
        <f t="shared" si="7"/>
        <v>0.99856136026374143</v>
      </c>
      <c r="I196" t="str">
        <f t="shared" si="6"/>
        <v>C</v>
      </c>
    </row>
    <row r="197" spans="1:9" x14ac:dyDescent="0.25">
      <c r="A197">
        <v>847</v>
      </c>
      <c r="B197" t="s">
        <v>326</v>
      </c>
      <c r="C197" t="s">
        <v>460</v>
      </c>
      <c r="D197">
        <v>180</v>
      </c>
      <c r="E197">
        <v>14.433400000000001</v>
      </c>
      <c r="F197">
        <v>2598.0120000000002</v>
      </c>
      <c r="G197">
        <f>F197/(SUM(F2:F220))</f>
        <v>1.3513130279726245E-4</v>
      </c>
      <c r="H197">
        <f t="shared" si="7"/>
        <v>0.99869649156653872</v>
      </c>
      <c r="I197" t="str">
        <f t="shared" si="6"/>
        <v>C</v>
      </c>
    </row>
    <row r="198" spans="1:9" x14ac:dyDescent="0.25">
      <c r="A198">
        <v>844</v>
      </c>
      <c r="B198" t="s">
        <v>323</v>
      </c>
      <c r="C198" t="s">
        <v>460</v>
      </c>
      <c r="D198">
        <v>288</v>
      </c>
      <c r="E198">
        <v>8.2459000000000007</v>
      </c>
      <c r="F198">
        <v>2374.8191999999999</v>
      </c>
      <c r="G198">
        <f>F198/(SUM(F2:F220))</f>
        <v>1.2352229797397109E-4</v>
      </c>
      <c r="H198">
        <f t="shared" si="7"/>
        <v>0.99882001386451269</v>
      </c>
      <c r="I198" t="str">
        <f t="shared" si="6"/>
        <v>C</v>
      </c>
    </row>
    <row r="199" spans="1:9" x14ac:dyDescent="0.25">
      <c r="A199">
        <v>863</v>
      </c>
      <c r="B199" t="s">
        <v>342</v>
      </c>
      <c r="C199" t="s">
        <v>459</v>
      </c>
      <c r="D199">
        <v>144</v>
      </c>
      <c r="E199">
        <v>15.6709</v>
      </c>
      <c r="F199">
        <v>2256.6095999999998</v>
      </c>
      <c r="G199">
        <f>F199/(SUM(F2:F220))</f>
        <v>1.1737382088797483E-4</v>
      </c>
      <c r="H199">
        <f t="shared" si="7"/>
        <v>0.99893738768540064</v>
      </c>
      <c r="I199" t="str">
        <f t="shared" si="6"/>
        <v>C</v>
      </c>
    </row>
    <row r="200" spans="1:9" x14ac:dyDescent="0.25">
      <c r="A200">
        <v>880</v>
      </c>
      <c r="B200" t="s">
        <v>359</v>
      </c>
      <c r="C200" t="s">
        <v>460</v>
      </c>
      <c r="D200">
        <v>108</v>
      </c>
      <c r="E200">
        <v>20.566299999999998</v>
      </c>
      <c r="F200">
        <v>2221.1604000000002</v>
      </c>
      <c r="G200">
        <f>F200/(SUM(F2:F220))</f>
        <v>1.1552998930477943E-4</v>
      </c>
      <c r="H200">
        <f t="shared" si="7"/>
        <v>0.99905291767470539</v>
      </c>
      <c r="I200" t="str">
        <f t="shared" si="6"/>
        <v>C</v>
      </c>
    </row>
    <row r="201" spans="1:9" x14ac:dyDescent="0.25">
      <c r="A201">
        <v>712</v>
      </c>
      <c r="B201" t="s">
        <v>230</v>
      </c>
      <c r="C201" t="s">
        <v>459</v>
      </c>
      <c r="D201">
        <v>288</v>
      </c>
      <c r="E201">
        <v>6.9222999999999999</v>
      </c>
      <c r="F201">
        <v>1993.6224</v>
      </c>
      <c r="G201">
        <f>F201/(SUM(F2:F220))</f>
        <v>1.0369497608086686E-4</v>
      </c>
      <c r="H201">
        <f t="shared" si="7"/>
        <v>0.99915661265078626</v>
      </c>
      <c r="I201" t="str">
        <f t="shared" si="6"/>
        <v>C</v>
      </c>
    </row>
    <row r="202" spans="1:9" x14ac:dyDescent="0.25">
      <c r="A202">
        <v>862</v>
      </c>
      <c r="B202" t="s">
        <v>341</v>
      </c>
      <c r="C202" t="s">
        <v>459</v>
      </c>
      <c r="D202">
        <v>108</v>
      </c>
      <c r="E202">
        <v>15.6709</v>
      </c>
      <c r="F202">
        <v>1692.4572000000001</v>
      </c>
      <c r="G202">
        <f>F202/(SUM(F2:F220))</f>
        <v>8.8030365665981133E-5</v>
      </c>
      <c r="H202">
        <f t="shared" si="7"/>
        <v>0.99924464301645222</v>
      </c>
      <c r="I202" t="str">
        <f t="shared" si="6"/>
        <v>C</v>
      </c>
    </row>
    <row r="203" spans="1:9" x14ac:dyDescent="0.25">
      <c r="A203">
        <v>883</v>
      </c>
      <c r="B203" t="s">
        <v>362</v>
      </c>
      <c r="C203" t="s">
        <v>459</v>
      </c>
      <c r="D203">
        <v>36</v>
      </c>
      <c r="E203">
        <v>41.572299999999998</v>
      </c>
      <c r="F203">
        <v>1496.6027999999999</v>
      </c>
      <c r="G203">
        <f>F203/(SUM(F2:F220))</f>
        <v>7.7843322561262538E-5</v>
      </c>
      <c r="H203">
        <f t="shared" si="7"/>
        <v>0.99932248633901344</v>
      </c>
      <c r="I203" t="str">
        <f t="shared" si="6"/>
        <v>C</v>
      </c>
    </row>
    <row r="204" spans="1:9" x14ac:dyDescent="0.25">
      <c r="A204">
        <v>861</v>
      </c>
      <c r="B204" t="s">
        <v>340</v>
      </c>
      <c r="C204" t="s">
        <v>459</v>
      </c>
      <c r="D204">
        <v>72</v>
      </c>
      <c r="E204">
        <v>15.6709</v>
      </c>
      <c r="F204">
        <v>1128.3047999999999</v>
      </c>
      <c r="G204">
        <f>F204/(SUM(F2:F220))</f>
        <v>5.8686910443987413E-5</v>
      </c>
      <c r="H204">
        <f t="shared" si="7"/>
        <v>0.99938117324945741</v>
      </c>
      <c r="I204" t="str">
        <f t="shared" si="6"/>
        <v>C</v>
      </c>
    </row>
    <row r="205" spans="1:9" x14ac:dyDescent="0.25">
      <c r="A205">
        <v>854</v>
      </c>
      <c r="B205" t="s">
        <v>333</v>
      </c>
      <c r="C205" t="s">
        <v>459</v>
      </c>
      <c r="D205">
        <v>36</v>
      </c>
      <c r="E205">
        <v>30.933399999999999</v>
      </c>
      <c r="F205">
        <v>1113.6024</v>
      </c>
      <c r="G205">
        <f>F205/(SUM(F2:F220))</f>
        <v>5.7922189393335432E-5</v>
      </c>
      <c r="H205">
        <f t="shared" si="7"/>
        <v>0.99943909543885079</v>
      </c>
      <c r="I205" t="str">
        <f t="shared" si="6"/>
        <v>C</v>
      </c>
    </row>
    <row r="206" spans="1:9" x14ac:dyDescent="0.25">
      <c r="A206">
        <v>872</v>
      </c>
      <c r="B206" t="s">
        <v>351</v>
      </c>
      <c r="C206" t="s">
        <v>460</v>
      </c>
      <c r="D206">
        <v>324</v>
      </c>
      <c r="E206">
        <v>3.3622999999999998</v>
      </c>
      <c r="F206">
        <v>1089.3851999999999</v>
      </c>
      <c r="G206">
        <f>F206/(SUM(F2:F220))</f>
        <v>5.6662571737180698E-5</v>
      </c>
      <c r="H206">
        <f t="shared" si="7"/>
        <v>0.99949575801058799</v>
      </c>
      <c r="I206" t="str">
        <f t="shared" si="6"/>
        <v>C</v>
      </c>
    </row>
    <row r="207" spans="1:9" x14ac:dyDescent="0.25">
      <c r="A207">
        <v>871</v>
      </c>
      <c r="B207" t="s">
        <v>350</v>
      </c>
      <c r="C207" t="s">
        <v>460</v>
      </c>
      <c r="D207">
        <v>288</v>
      </c>
      <c r="E207">
        <v>3.7363</v>
      </c>
      <c r="F207">
        <v>1076.0544</v>
      </c>
      <c r="G207">
        <f>F207/(SUM(F2:F220))</f>
        <v>5.5969192194926951E-5</v>
      </c>
      <c r="H207">
        <f t="shared" si="7"/>
        <v>0.99955172720278296</v>
      </c>
      <c r="I207" t="str">
        <f t="shared" si="6"/>
        <v>C</v>
      </c>
    </row>
    <row r="208" spans="1:9" x14ac:dyDescent="0.25">
      <c r="A208">
        <v>921</v>
      </c>
      <c r="B208" t="s">
        <v>375</v>
      </c>
      <c r="C208" t="s">
        <v>460</v>
      </c>
      <c r="D208">
        <v>529</v>
      </c>
      <c r="E208">
        <v>1.8663000000000001</v>
      </c>
      <c r="F208">
        <v>987.27269999999999</v>
      </c>
      <c r="G208">
        <f>F208/(SUM(F2:F220))</f>
        <v>5.1351358718578222E-5</v>
      </c>
      <c r="H208">
        <f t="shared" si="7"/>
        <v>0.99960307856150155</v>
      </c>
      <c r="I208" t="str">
        <f t="shared" si="6"/>
        <v>C</v>
      </c>
    </row>
    <row r="209" spans="1:9" x14ac:dyDescent="0.25">
      <c r="A209">
        <v>875</v>
      </c>
      <c r="B209" t="s">
        <v>354</v>
      </c>
      <c r="C209" t="s">
        <v>459</v>
      </c>
      <c r="D209">
        <v>288</v>
      </c>
      <c r="E209">
        <v>3.3622999999999998</v>
      </c>
      <c r="F209">
        <v>968.3424</v>
      </c>
      <c r="G209">
        <f>F209/(SUM(F2:F220))</f>
        <v>5.0366730433049513E-5</v>
      </c>
      <c r="H209">
        <f t="shared" si="7"/>
        <v>0.99965344529193456</v>
      </c>
      <c r="I209" t="str">
        <f t="shared" si="6"/>
        <v>C</v>
      </c>
    </row>
    <row r="210" spans="1:9" x14ac:dyDescent="0.25">
      <c r="A210">
        <v>923</v>
      </c>
      <c r="B210" t="s">
        <v>377</v>
      </c>
      <c r="C210" t="s">
        <v>460</v>
      </c>
      <c r="D210">
        <v>502</v>
      </c>
      <c r="E210">
        <v>1.8663000000000001</v>
      </c>
      <c r="F210">
        <v>936.88260000000002</v>
      </c>
      <c r="G210">
        <f>F210/(SUM(F2:F220))</f>
        <v>4.8730400901183876E-5</v>
      </c>
      <c r="H210">
        <f t="shared" si="7"/>
        <v>0.9997021756928357</v>
      </c>
      <c r="I210" t="str">
        <f t="shared" si="6"/>
        <v>C</v>
      </c>
    </row>
    <row r="211" spans="1:9" x14ac:dyDescent="0.25">
      <c r="A211">
        <v>878</v>
      </c>
      <c r="B211" t="s">
        <v>357</v>
      </c>
      <c r="C211" t="s">
        <v>460</v>
      </c>
      <c r="D211">
        <v>108</v>
      </c>
      <c r="E211">
        <v>8.2204999999999995</v>
      </c>
      <c r="F211">
        <v>887.81399999999996</v>
      </c>
      <c r="G211">
        <f>F211/(SUM(F2:F220))</f>
        <v>4.6178178723442679E-5</v>
      </c>
      <c r="H211">
        <f t="shared" si="7"/>
        <v>0.99974835387155914</v>
      </c>
      <c r="I211" t="str">
        <f t="shared" si="6"/>
        <v>C</v>
      </c>
    </row>
    <row r="212" spans="1:9" x14ac:dyDescent="0.25">
      <c r="A212">
        <v>874</v>
      </c>
      <c r="B212" t="s">
        <v>353</v>
      </c>
      <c r="C212" t="s">
        <v>459</v>
      </c>
      <c r="D212">
        <v>252</v>
      </c>
      <c r="E212">
        <v>3.3622999999999998</v>
      </c>
      <c r="F212">
        <v>847.29960000000005</v>
      </c>
      <c r="G212">
        <f>F212/(SUM(F2:F220))</f>
        <v>4.4070889128918328E-5</v>
      </c>
      <c r="H212">
        <f t="shared" si="7"/>
        <v>0.99979242476068808</v>
      </c>
      <c r="I212" t="str">
        <f t="shared" si="6"/>
        <v>C</v>
      </c>
    </row>
    <row r="213" spans="1:9" x14ac:dyDescent="0.25">
      <c r="A213">
        <v>846</v>
      </c>
      <c r="B213" t="s">
        <v>325</v>
      </c>
      <c r="C213" t="s">
        <v>460</v>
      </c>
      <c r="D213">
        <v>144</v>
      </c>
      <c r="E213">
        <v>5.7709000000000001</v>
      </c>
      <c r="F213">
        <v>831.00959999999998</v>
      </c>
      <c r="G213">
        <f>F213/(SUM(F2:F220))</f>
        <v>4.3223591686655776E-5</v>
      </c>
      <c r="H213">
        <f t="shared" si="7"/>
        <v>0.99983564835237471</v>
      </c>
      <c r="I213" t="str">
        <f t="shared" si="6"/>
        <v>C</v>
      </c>
    </row>
    <row r="214" spans="1:9" x14ac:dyDescent="0.25">
      <c r="A214">
        <v>922</v>
      </c>
      <c r="B214" t="s">
        <v>376</v>
      </c>
      <c r="C214" t="s">
        <v>460</v>
      </c>
      <c r="D214">
        <v>505</v>
      </c>
      <c r="E214">
        <v>1.4923</v>
      </c>
      <c r="F214">
        <v>753.61149999999998</v>
      </c>
      <c r="G214">
        <f>F214/(SUM(F2:F220))</f>
        <v>3.9197857360935649E-5</v>
      </c>
      <c r="H214">
        <f t="shared" si="7"/>
        <v>0.99987484620973566</v>
      </c>
      <c r="I214" t="str">
        <f t="shared" si="6"/>
        <v>C</v>
      </c>
    </row>
    <row r="215" spans="1:9" x14ac:dyDescent="0.25">
      <c r="A215">
        <v>710</v>
      </c>
      <c r="B215" t="s">
        <v>228</v>
      </c>
      <c r="C215" t="s">
        <v>459</v>
      </c>
      <c r="D215">
        <v>216</v>
      </c>
      <c r="E215">
        <v>3.3963000000000001</v>
      </c>
      <c r="F215">
        <v>733.60080000000005</v>
      </c>
      <c r="G215">
        <f>F215/(SUM(F2:F220))</f>
        <v>3.8157033854006052E-5</v>
      </c>
      <c r="H215">
        <f t="shared" si="7"/>
        <v>0.99991300324358967</v>
      </c>
      <c r="I215" t="str">
        <f t="shared" si="6"/>
        <v>C</v>
      </c>
    </row>
    <row r="216" spans="1:9" x14ac:dyDescent="0.25">
      <c r="A216">
        <v>709</v>
      </c>
      <c r="B216" t="s">
        <v>227</v>
      </c>
      <c r="C216" t="s">
        <v>459</v>
      </c>
      <c r="D216">
        <v>180</v>
      </c>
      <c r="E216">
        <v>3.3963000000000001</v>
      </c>
      <c r="F216">
        <v>611.33399999999995</v>
      </c>
      <c r="G216">
        <f>F216/(SUM(F2:F220))</f>
        <v>3.1797528211671709E-5</v>
      </c>
      <c r="H216">
        <f t="shared" si="7"/>
        <v>0.99994480077180137</v>
      </c>
      <c r="I216" t="str">
        <f t="shared" si="6"/>
        <v>C</v>
      </c>
    </row>
    <row r="217" spans="1:9" x14ac:dyDescent="0.25">
      <c r="A217">
        <v>870</v>
      </c>
      <c r="B217" t="s">
        <v>349</v>
      </c>
      <c r="C217" t="s">
        <v>460</v>
      </c>
      <c r="D217">
        <v>252</v>
      </c>
      <c r="E217">
        <v>1.8663000000000001</v>
      </c>
      <c r="F217">
        <v>470.30759999999998</v>
      </c>
      <c r="G217">
        <f>F217/(SUM(F2:F220))</f>
        <v>2.4462272962347282E-5</v>
      </c>
      <c r="H217">
        <f t="shared" si="7"/>
        <v>0.99996926304476375</v>
      </c>
      <c r="I217" t="str">
        <f t="shared" si="6"/>
        <v>C</v>
      </c>
    </row>
    <row r="218" spans="1:9" x14ac:dyDescent="0.25">
      <c r="A218">
        <v>860</v>
      </c>
      <c r="B218" t="s">
        <v>339</v>
      </c>
      <c r="C218" t="s">
        <v>459</v>
      </c>
      <c r="D218">
        <v>36</v>
      </c>
      <c r="E218">
        <v>9.1593</v>
      </c>
      <c r="F218">
        <v>329.73480000000001</v>
      </c>
      <c r="G218">
        <f>F218/(SUM(F2:F220))</f>
        <v>1.7150610967768731E-5</v>
      </c>
      <c r="H218">
        <f t="shared" si="7"/>
        <v>0.99998641365573149</v>
      </c>
      <c r="I218" t="str">
        <f t="shared" si="6"/>
        <v>C</v>
      </c>
    </row>
    <row r="219" spans="1:9" x14ac:dyDescent="0.25">
      <c r="A219">
        <v>873</v>
      </c>
      <c r="B219" t="s">
        <v>352</v>
      </c>
      <c r="C219" t="s">
        <v>460</v>
      </c>
      <c r="D219">
        <v>180</v>
      </c>
      <c r="E219">
        <v>0.85650000000000004</v>
      </c>
      <c r="F219">
        <v>154.16999999999999</v>
      </c>
      <c r="G219">
        <f>F219/(SUM(F2:F220))</f>
        <v>8.0188978927941637E-6</v>
      </c>
      <c r="H219">
        <f t="shared" si="7"/>
        <v>0.9999944325536243</v>
      </c>
      <c r="I219" t="str">
        <f t="shared" si="6"/>
        <v>C</v>
      </c>
    </row>
    <row r="220" spans="1:9" x14ac:dyDescent="0.25">
      <c r="A220">
        <v>877</v>
      </c>
      <c r="B220" t="s">
        <v>356</v>
      </c>
      <c r="C220" t="s">
        <v>460</v>
      </c>
      <c r="D220">
        <v>36</v>
      </c>
      <c r="E220">
        <v>2.9733000000000001</v>
      </c>
      <c r="F220">
        <v>107.03879999999999</v>
      </c>
      <c r="G220">
        <f>F220/(SUM(F2:F220))</f>
        <v>5.5674463758657062E-6</v>
      </c>
      <c r="H220">
        <f t="shared" si="7"/>
        <v>1.0000000000000002</v>
      </c>
      <c r="I220" t="str">
        <f t="shared" si="6"/>
        <v>C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E25" sqref="E25"/>
    </sheetView>
  </sheetViews>
  <sheetFormatPr defaultRowHeight="15" x14ac:dyDescent="0.25"/>
  <cols>
    <col min="3" max="3" width="22.85546875" bestFit="1" customWidth="1"/>
    <col min="4" max="4" width="21.28515625" bestFit="1" customWidth="1"/>
    <col min="6" max="6" width="23.7109375" customWidth="1"/>
  </cols>
  <sheetData>
    <row r="1" spans="1:6" x14ac:dyDescent="0.25">
      <c r="A1" t="s">
        <v>461</v>
      </c>
      <c r="B1" t="s">
        <v>450</v>
      </c>
      <c r="C1" t="s">
        <v>463</v>
      </c>
      <c r="D1" t="s">
        <v>462</v>
      </c>
      <c r="E1" t="s">
        <v>464</v>
      </c>
      <c r="F1" t="s">
        <v>465</v>
      </c>
    </row>
    <row r="2" spans="1:6" x14ac:dyDescent="0.25">
      <c r="A2">
        <v>2011</v>
      </c>
      <c r="B2" t="s">
        <v>458</v>
      </c>
      <c r="C2">
        <v>7942</v>
      </c>
      <c r="D2">
        <v>7963</v>
      </c>
      <c r="E2">
        <f t="shared" ref="E2:E9" si="0">C2-D2</f>
        <v>-21</v>
      </c>
      <c r="F2">
        <f t="shared" ref="F2:F9" si="1">C2/D2</f>
        <v>0.99736280296370716</v>
      </c>
    </row>
    <row r="3" spans="1:6" x14ac:dyDescent="0.25">
      <c r="A3">
        <v>2011</v>
      </c>
      <c r="B3" t="s">
        <v>457</v>
      </c>
      <c r="C3">
        <v>82714</v>
      </c>
      <c r="D3">
        <v>1647</v>
      </c>
      <c r="E3">
        <f t="shared" si="0"/>
        <v>81067</v>
      </c>
      <c r="F3">
        <f t="shared" si="1"/>
        <v>50.221007893139038</v>
      </c>
    </row>
    <row r="4" spans="1:6" x14ac:dyDescent="0.25">
      <c r="A4">
        <v>2012</v>
      </c>
      <c r="B4" t="s">
        <v>458</v>
      </c>
      <c r="C4">
        <v>25847</v>
      </c>
      <c r="D4">
        <v>28494</v>
      </c>
      <c r="E4">
        <f t="shared" si="0"/>
        <v>-2647</v>
      </c>
      <c r="F4">
        <f t="shared" si="1"/>
        <v>0.90710324980697687</v>
      </c>
    </row>
    <row r="5" spans="1:6" x14ac:dyDescent="0.25">
      <c r="A5">
        <v>2012</v>
      </c>
      <c r="B5" t="s">
        <v>457</v>
      </c>
      <c r="C5">
        <v>281107</v>
      </c>
      <c r="D5">
        <v>15107</v>
      </c>
      <c r="E5">
        <f t="shared" si="0"/>
        <v>266000</v>
      </c>
      <c r="F5">
        <f t="shared" si="1"/>
        <v>18.607731515191634</v>
      </c>
    </row>
    <row r="6" spans="1:6" x14ac:dyDescent="0.25">
      <c r="A6">
        <v>2013</v>
      </c>
      <c r="B6" t="s">
        <v>458</v>
      </c>
      <c r="C6">
        <v>37707</v>
      </c>
      <c r="D6">
        <v>37748</v>
      </c>
      <c r="E6">
        <f t="shared" si="0"/>
        <v>-41</v>
      </c>
      <c r="F6">
        <f t="shared" si="1"/>
        <v>0.99891384974038355</v>
      </c>
    </row>
    <row r="7" spans="1:6" x14ac:dyDescent="0.25">
      <c r="A7">
        <v>2013</v>
      </c>
      <c r="B7" t="s">
        <v>457</v>
      </c>
      <c r="C7">
        <v>408679</v>
      </c>
      <c r="D7">
        <v>24707</v>
      </c>
      <c r="E7">
        <f t="shared" si="0"/>
        <v>383972</v>
      </c>
      <c r="F7">
        <f t="shared" si="1"/>
        <v>16.54102076334642</v>
      </c>
    </row>
    <row r="8" spans="1:6" x14ac:dyDescent="0.25">
      <c r="A8">
        <v>2014</v>
      </c>
      <c r="B8" t="s">
        <v>458</v>
      </c>
      <c r="C8">
        <v>18772</v>
      </c>
      <c r="D8">
        <v>16063</v>
      </c>
      <c r="E8">
        <f t="shared" si="0"/>
        <v>2709</v>
      </c>
      <c r="F8">
        <f t="shared" si="1"/>
        <v>1.1686484467409575</v>
      </c>
    </row>
    <row r="9" spans="1:6" x14ac:dyDescent="0.25">
      <c r="A9">
        <v>2014</v>
      </c>
      <c r="B9" t="s">
        <v>457</v>
      </c>
      <c r="C9">
        <v>198438</v>
      </c>
      <c r="D9">
        <v>7583</v>
      </c>
      <c r="E9">
        <f t="shared" si="0"/>
        <v>190855</v>
      </c>
      <c r="F9">
        <f t="shared" si="1"/>
        <v>26.168798628511144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3"/>
  <sheetViews>
    <sheetView topLeftCell="A2" workbookViewId="0">
      <selection activeCell="H35" sqref="H3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451</v>
      </c>
      <c r="D1" t="s">
        <v>466</v>
      </c>
      <c r="E1" t="s">
        <v>467</v>
      </c>
    </row>
    <row r="2" spans="1:5" x14ac:dyDescent="0.25">
      <c r="A2">
        <v>1</v>
      </c>
      <c r="B2" t="s">
        <v>4</v>
      </c>
      <c r="C2">
        <v>1085</v>
      </c>
      <c r="D2">
        <v>750</v>
      </c>
      <c r="E2" t="s">
        <v>468</v>
      </c>
    </row>
    <row r="3" spans="1:5" x14ac:dyDescent="0.25">
      <c r="A3">
        <v>2</v>
      </c>
      <c r="B3" t="s">
        <v>8</v>
      </c>
      <c r="C3">
        <v>1109</v>
      </c>
      <c r="D3">
        <v>750</v>
      </c>
      <c r="E3" t="s">
        <v>468</v>
      </c>
    </row>
    <row r="4" spans="1:5" x14ac:dyDescent="0.25">
      <c r="A4">
        <v>3</v>
      </c>
      <c r="B4" t="s">
        <v>9</v>
      </c>
      <c r="C4">
        <v>1352</v>
      </c>
      <c r="D4">
        <v>600</v>
      </c>
      <c r="E4" t="s">
        <v>468</v>
      </c>
    </row>
    <row r="5" spans="1:5" x14ac:dyDescent="0.25">
      <c r="A5">
        <v>4</v>
      </c>
      <c r="B5" t="s">
        <v>10</v>
      </c>
      <c r="C5">
        <v>1322</v>
      </c>
      <c r="D5">
        <v>600</v>
      </c>
      <c r="E5" t="s">
        <v>468</v>
      </c>
    </row>
    <row r="6" spans="1:5" x14ac:dyDescent="0.25">
      <c r="A6">
        <v>316</v>
      </c>
      <c r="B6" t="s">
        <v>11</v>
      </c>
      <c r="C6">
        <v>1361</v>
      </c>
      <c r="D6">
        <v>600</v>
      </c>
      <c r="E6" t="s">
        <v>468</v>
      </c>
    </row>
    <row r="7" spans="1:5" x14ac:dyDescent="0.25">
      <c r="A7">
        <v>317</v>
      </c>
      <c r="B7" t="s">
        <v>14</v>
      </c>
      <c r="C7">
        <v>593</v>
      </c>
      <c r="D7">
        <v>375</v>
      </c>
      <c r="E7" t="s">
        <v>468</v>
      </c>
    </row>
    <row r="8" spans="1:5" x14ac:dyDescent="0.25">
      <c r="A8">
        <v>318</v>
      </c>
      <c r="B8" t="s">
        <v>15</v>
      </c>
      <c r="C8">
        <v>439</v>
      </c>
      <c r="D8">
        <v>375</v>
      </c>
      <c r="E8" t="s">
        <v>468</v>
      </c>
    </row>
    <row r="9" spans="1:5" x14ac:dyDescent="0.25">
      <c r="A9">
        <v>319</v>
      </c>
      <c r="B9" t="s">
        <v>16</v>
      </c>
      <c r="C9">
        <v>797</v>
      </c>
      <c r="D9">
        <v>375</v>
      </c>
      <c r="E9" t="s">
        <v>468</v>
      </c>
    </row>
    <row r="10" spans="1:5" x14ac:dyDescent="0.25">
      <c r="A10">
        <v>320</v>
      </c>
      <c r="B10" t="s">
        <v>17</v>
      </c>
      <c r="C10">
        <v>1136</v>
      </c>
      <c r="D10">
        <v>750</v>
      </c>
      <c r="E10" t="s">
        <v>468</v>
      </c>
    </row>
    <row r="11" spans="1:5" x14ac:dyDescent="0.25">
      <c r="A11">
        <v>321</v>
      </c>
      <c r="B11" t="s">
        <v>18</v>
      </c>
      <c r="C11">
        <v>1750</v>
      </c>
      <c r="D11">
        <v>750</v>
      </c>
      <c r="E11" t="s">
        <v>468</v>
      </c>
    </row>
    <row r="12" spans="1:5" x14ac:dyDescent="0.25">
      <c r="A12">
        <v>322</v>
      </c>
      <c r="B12" t="s">
        <v>19</v>
      </c>
      <c r="C12">
        <v>1684</v>
      </c>
      <c r="D12">
        <v>750</v>
      </c>
      <c r="E12" t="s">
        <v>468</v>
      </c>
    </row>
    <row r="13" spans="1:5" x14ac:dyDescent="0.25">
      <c r="A13">
        <v>323</v>
      </c>
      <c r="B13" t="s">
        <v>20</v>
      </c>
      <c r="C13">
        <v>1684</v>
      </c>
      <c r="D13">
        <v>750</v>
      </c>
      <c r="E13" t="s">
        <v>468</v>
      </c>
    </row>
    <row r="14" spans="1:5" x14ac:dyDescent="0.25">
      <c r="A14">
        <v>324</v>
      </c>
      <c r="B14" t="s">
        <v>21</v>
      </c>
      <c r="C14">
        <v>1629</v>
      </c>
      <c r="D14">
        <v>750</v>
      </c>
      <c r="E14" t="s">
        <v>468</v>
      </c>
    </row>
    <row r="15" spans="1:5" x14ac:dyDescent="0.25">
      <c r="A15">
        <v>325</v>
      </c>
      <c r="B15" t="s">
        <v>22</v>
      </c>
      <c r="C15">
        <v>1750</v>
      </c>
      <c r="D15">
        <v>750</v>
      </c>
      <c r="E15" t="s">
        <v>468</v>
      </c>
    </row>
    <row r="16" spans="1:5" x14ac:dyDescent="0.25">
      <c r="A16">
        <v>326</v>
      </c>
      <c r="B16" t="s">
        <v>24</v>
      </c>
      <c r="C16">
        <v>1684</v>
      </c>
      <c r="D16">
        <v>750</v>
      </c>
      <c r="E16" t="s">
        <v>468</v>
      </c>
    </row>
    <row r="17" spans="1:5" x14ac:dyDescent="0.25">
      <c r="A17">
        <v>327</v>
      </c>
      <c r="B17" t="s">
        <v>25</v>
      </c>
      <c r="C17">
        <v>1364</v>
      </c>
      <c r="D17">
        <v>600</v>
      </c>
      <c r="E17" t="s">
        <v>468</v>
      </c>
    </row>
    <row r="18" spans="1:5" x14ac:dyDescent="0.25">
      <c r="A18">
        <v>328</v>
      </c>
      <c r="B18" t="s">
        <v>26</v>
      </c>
      <c r="C18">
        <v>1629</v>
      </c>
      <c r="D18">
        <v>750</v>
      </c>
      <c r="E18" t="s">
        <v>468</v>
      </c>
    </row>
    <row r="19" spans="1:5" x14ac:dyDescent="0.25">
      <c r="A19">
        <v>329</v>
      </c>
      <c r="B19" t="s">
        <v>27</v>
      </c>
      <c r="C19">
        <v>1601</v>
      </c>
      <c r="D19">
        <v>750</v>
      </c>
      <c r="E19" t="s">
        <v>468</v>
      </c>
    </row>
    <row r="20" spans="1:5" x14ac:dyDescent="0.25">
      <c r="A20">
        <v>330</v>
      </c>
      <c r="B20" t="s">
        <v>28</v>
      </c>
      <c r="C20">
        <v>1571</v>
      </c>
      <c r="D20">
        <v>750</v>
      </c>
      <c r="E20" t="s">
        <v>468</v>
      </c>
    </row>
    <row r="21" spans="1:5" x14ac:dyDescent="0.25">
      <c r="A21">
        <v>331</v>
      </c>
      <c r="B21" t="s">
        <v>29</v>
      </c>
      <c r="C21">
        <v>1405</v>
      </c>
      <c r="D21">
        <v>600</v>
      </c>
      <c r="E21" t="s">
        <v>468</v>
      </c>
    </row>
    <row r="22" spans="1:5" x14ac:dyDescent="0.25">
      <c r="A22">
        <v>332</v>
      </c>
      <c r="B22" t="s">
        <v>30</v>
      </c>
      <c r="C22">
        <v>844</v>
      </c>
      <c r="D22">
        <v>375</v>
      </c>
      <c r="E22" t="s">
        <v>468</v>
      </c>
    </row>
    <row r="23" spans="1:5" x14ac:dyDescent="0.25">
      <c r="A23">
        <v>341</v>
      </c>
      <c r="B23" t="s">
        <v>31</v>
      </c>
      <c r="C23">
        <v>1103</v>
      </c>
      <c r="D23">
        <v>750</v>
      </c>
      <c r="E23" t="s">
        <v>468</v>
      </c>
    </row>
    <row r="24" spans="1:5" x14ac:dyDescent="0.25">
      <c r="A24">
        <v>342</v>
      </c>
      <c r="B24" t="s">
        <v>32</v>
      </c>
      <c r="C24">
        <v>1093</v>
      </c>
      <c r="D24">
        <v>750</v>
      </c>
      <c r="E24" t="s">
        <v>468</v>
      </c>
    </row>
    <row r="25" spans="1:5" x14ac:dyDescent="0.25">
      <c r="A25">
        <v>343</v>
      </c>
      <c r="B25" t="s">
        <v>33</v>
      </c>
      <c r="C25">
        <v>1673</v>
      </c>
      <c r="D25">
        <v>750</v>
      </c>
      <c r="E25" t="s">
        <v>468</v>
      </c>
    </row>
    <row r="26" spans="1:5" x14ac:dyDescent="0.25">
      <c r="A26">
        <v>344</v>
      </c>
      <c r="B26" t="s">
        <v>34</v>
      </c>
      <c r="C26">
        <v>1072</v>
      </c>
      <c r="D26">
        <v>750</v>
      </c>
      <c r="E26" t="s">
        <v>468</v>
      </c>
    </row>
    <row r="27" spans="1:5" x14ac:dyDescent="0.25">
      <c r="A27">
        <v>345</v>
      </c>
      <c r="B27" t="s">
        <v>35</v>
      </c>
      <c r="C27">
        <v>936</v>
      </c>
      <c r="D27">
        <v>750</v>
      </c>
      <c r="E27" t="s">
        <v>468</v>
      </c>
    </row>
    <row r="28" spans="1:5" x14ac:dyDescent="0.25">
      <c r="A28">
        <v>346</v>
      </c>
      <c r="B28" t="s">
        <v>36</v>
      </c>
      <c r="C28">
        <v>1702</v>
      </c>
      <c r="D28">
        <v>750</v>
      </c>
      <c r="E28" t="s">
        <v>468</v>
      </c>
    </row>
    <row r="29" spans="1:5" x14ac:dyDescent="0.25">
      <c r="A29">
        <v>347</v>
      </c>
      <c r="B29" t="s">
        <v>37</v>
      </c>
      <c r="C29">
        <v>896</v>
      </c>
      <c r="D29">
        <v>750</v>
      </c>
      <c r="E29" t="s">
        <v>468</v>
      </c>
    </row>
    <row r="30" spans="1:5" x14ac:dyDescent="0.25">
      <c r="A30">
        <v>348</v>
      </c>
      <c r="B30" t="s">
        <v>38</v>
      </c>
      <c r="C30">
        <v>911</v>
      </c>
      <c r="D30">
        <v>750</v>
      </c>
      <c r="E30" t="s">
        <v>468</v>
      </c>
    </row>
    <row r="31" spans="1:5" x14ac:dyDescent="0.25">
      <c r="A31">
        <v>349</v>
      </c>
      <c r="B31" t="s">
        <v>39</v>
      </c>
      <c r="C31">
        <v>926</v>
      </c>
      <c r="D31">
        <v>750</v>
      </c>
      <c r="E31" t="s">
        <v>468</v>
      </c>
    </row>
    <row r="32" spans="1:5" x14ac:dyDescent="0.25">
      <c r="A32">
        <v>350</v>
      </c>
      <c r="B32" t="s">
        <v>40</v>
      </c>
      <c r="C32">
        <v>1341</v>
      </c>
      <c r="D32">
        <v>600</v>
      </c>
      <c r="E32" t="s">
        <v>468</v>
      </c>
    </row>
    <row r="33" spans="1:5" x14ac:dyDescent="0.25">
      <c r="A33">
        <v>351</v>
      </c>
      <c r="B33" t="s">
        <v>41</v>
      </c>
      <c r="C33">
        <v>605</v>
      </c>
      <c r="D33">
        <v>600</v>
      </c>
      <c r="E33" t="s">
        <v>468</v>
      </c>
    </row>
    <row r="34" spans="1:5" x14ac:dyDescent="0.25">
      <c r="A34">
        <v>352</v>
      </c>
      <c r="B34" t="s">
        <v>42</v>
      </c>
      <c r="C34">
        <v>773</v>
      </c>
      <c r="D34">
        <v>600</v>
      </c>
      <c r="E34" t="s">
        <v>468</v>
      </c>
    </row>
    <row r="35" spans="1:5" x14ac:dyDescent="0.25">
      <c r="A35">
        <v>355</v>
      </c>
      <c r="B35" t="s">
        <v>43</v>
      </c>
      <c r="C35">
        <v>822</v>
      </c>
      <c r="D35">
        <v>600</v>
      </c>
      <c r="E35" t="s">
        <v>468</v>
      </c>
    </row>
    <row r="36" spans="1:5" x14ac:dyDescent="0.25">
      <c r="A36">
        <v>356</v>
      </c>
      <c r="B36" t="s">
        <v>44</v>
      </c>
      <c r="C36">
        <v>780</v>
      </c>
      <c r="D36">
        <v>600</v>
      </c>
      <c r="E36" t="s">
        <v>468</v>
      </c>
    </row>
    <row r="37" spans="1:5" x14ac:dyDescent="0.25">
      <c r="A37">
        <v>357</v>
      </c>
      <c r="B37" t="s">
        <v>45</v>
      </c>
      <c r="C37">
        <v>736</v>
      </c>
      <c r="D37">
        <v>600</v>
      </c>
      <c r="E37" t="s">
        <v>468</v>
      </c>
    </row>
    <row r="38" spans="1:5" x14ac:dyDescent="0.25">
      <c r="A38">
        <v>358</v>
      </c>
      <c r="B38" t="s">
        <v>46</v>
      </c>
      <c r="C38">
        <v>693</v>
      </c>
      <c r="D38">
        <v>600</v>
      </c>
      <c r="E38" t="s">
        <v>468</v>
      </c>
    </row>
    <row r="39" spans="1:5" x14ac:dyDescent="0.25">
      <c r="A39">
        <v>359</v>
      </c>
      <c r="B39" t="s">
        <v>47</v>
      </c>
      <c r="C39">
        <v>1103</v>
      </c>
      <c r="D39">
        <v>750</v>
      </c>
      <c r="E39" t="s">
        <v>468</v>
      </c>
    </row>
    <row r="40" spans="1:5" x14ac:dyDescent="0.25">
      <c r="A40">
        <v>360</v>
      </c>
      <c r="B40" t="s">
        <v>48</v>
      </c>
      <c r="C40">
        <v>1084</v>
      </c>
      <c r="D40">
        <v>750</v>
      </c>
      <c r="E40" t="s">
        <v>468</v>
      </c>
    </row>
    <row r="41" spans="1:5" x14ac:dyDescent="0.25">
      <c r="A41">
        <v>361</v>
      </c>
      <c r="B41" t="s">
        <v>49</v>
      </c>
      <c r="C41">
        <v>1631</v>
      </c>
      <c r="D41">
        <v>750</v>
      </c>
      <c r="E41" t="s">
        <v>468</v>
      </c>
    </row>
    <row r="42" spans="1:5" x14ac:dyDescent="0.25">
      <c r="A42">
        <v>362</v>
      </c>
      <c r="B42" t="s">
        <v>50</v>
      </c>
      <c r="C42">
        <v>1026</v>
      </c>
      <c r="D42">
        <v>750</v>
      </c>
      <c r="E42" t="s">
        <v>468</v>
      </c>
    </row>
    <row r="43" spans="1:5" x14ac:dyDescent="0.25">
      <c r="A43">
        <v>363</v>
      </c>
      <c r="B43" t="s">
        <v>51</v>
      </c>
      <c r="C43">
        <v>1761</v>
      </c>
      <c r="D43">
        <v>750</v>
      </c>
      <c r="E43" t="s">
        <v>468</v>
      </c>
    </row>
    <row r="44" spans="1:5" x14ac:dyDescent="0.25">
      <c r="A44">
        <v>364</v>
      </c>
      <c r="B44" t="s">
        <v>52</v>
      </c>
      <c r="C44">
        <v>1052</v>
      </c>
      <c r="D44">
        <v>750</v>
      </c>
      <c r="E44" t="s">
        <v>468</v>
      </c>
    </row>
    <row r="45" spans="1:5" x14ac:dyDescent="0.25">
      <c r="A45">
        <v>365</v>
      </c>
      <c r="B45" t="s">
        <v>53</v>
      </c>
      <c r="C45">
        <v>1721</v>
      </c>
      <c r="D45">
        <v>750</v>
      </c>
      <c r="E45" t="s">
        <v>468</v>
      </c>
    </row>
    <row r="46" spans="1:5" x14ac:dyDescent="0.25">
      <c r="A46">
        <v>366</v>
      </c>
      <c r="B46" t="s">
        <v>54</v>
      </c>
      <c r="C46">
        <v>1029</v>
      </c>
      <c r="D46">
        <v>750</v>
      </c>
      <c r="E46" t="s">
        <v>468</v>
      </c>
    </row>
    <row r="47" spans="1:5" x14ac:dyDescent="0.25">
      <c r="A47">
        <v>367</v>
      </c>
      <c r="B47" t="s">
        <v>55</v>
      </c>
      <c r="C47">
        <v>1901</v>
      </c>
      <c r="D47">
        <v>750</v>
      </c>
      <c r="E47" t="s">
        <v>468</v>
      </c>
    </row>
    <row r="48" spans="1:5" x14ac:dyDescent="0.25">
      <c r="A48">
        <v>368</v>
      </c>
      <c r="B48" t="s">
        <v>56</v>
      </c>
      <c r="C48">
        <v>1103</v>
      </c>
      <c r="D48">
        <v>750</v>
      </c>
      <c r="E48" t="s">
        <v>468</v>
      </c>
    </row>
    <row r="49" spans="1:5" x14ac:dyDescent="0.25">
      <c r="A49">
        <v>369</v>
      </c>
      <c r="B49" t="s">
        <v>57</v>
      </c>
      <c r="C49">
        <v>1084</v>
      </c>
      <c r="D49">
        <v>750</v>
      </c>
      <c r="E49" t="s">
        <v>468</v>
      </c>
    </row>
    <row r="50" spans="1:5" x14ac:dyDescent="0.25">
      <c r="A50">
        <v>370</v>
      </c>
      <c r="B50" t="s">
        <v>58</v>
      </c>
      <c r="C50">
        <v>883</v>
      </c>
      <c r="D50">
        <v>750</v>
      </c>
      <c r="E50" t="s">
        <v>468</v>
      </c>
    </row>
    <row r="51" spans="1:5" x14ac:dyDescent="0.25">
      <c r="A51">
        <v>371</v>
      </c>
      <c r="B51" t="s">
        <v>59</v>
      </c>
      <c r="C51">
        <v>1781</v>
      </c>
      <c r="D51">
        <v>750</v>
      </c>
      <c r="E51" t="s">
        <v>468</v>
      </c>
    </row>
    <row r="52" spans="1:5" x14ac:dyDescent="0.25">
      <c r="A52">
        <v>372</v>
      </c>
      <c r="B52" t="s">
        <v>60</v>
      </c>
      <c r="C52">
        <v>897</v>
      </c>
      <c r="D52">
        <v>750</v>
      </c>
      <c r="E52" t="s">
        <v>468</v>
      </c>
    </row>
    <row r="53" spans="1:5" x14ac:dyDescent="0.25">
      <c r="A53">
        <v>373</v>
      </c>
      <c r="B53" t="s">
        <v>61</v>
      </c>
      <c r="C53">
        <v>906</v>
      </c>
      <c r="D53">
        <v>750</v>
      </c>
      <c r="E53" t="s">
        <v>468</v>
      </c>
    </row>
    <row r="54" spans="1:5" x14ac:dyDescent="0.25">
      <c r="A54">
        <v>374</v>
      </c>
      <c r="B54" t="s">
        <v>62</v>
      </c>
      <c r="C54">
        <v>916</v>
      </c>
      <c r="D54">
        <v>750</v>
      </c>
      <c r="E54" t="s">
        <v>468</v>
      </c>
    </row>
    <row r="55" spans="1:5" x14ac:dyDescent="0.25">
      <c r="A55">
        <v>375</v>
      </c>
      <c r="B55" t="s">
        <v>63</v>
      </c>
      <c r="C55">
        <v>925</v>
      </c>
      <c r="D55">
        <v>750</v>
      </c>
      <c r="E55" t="s">
        <v>468</v>
      </c>
    </row>
    <row r="56" spans="1:5" x14ac:dyDescent="0.25">
      <c r="A56">
        <v>376</v>
      </c>
      <c r="B56" t="s">
        <v>64</v>
      </c>
      <c r="C56">
        <v>1781</v>
      </c>
      <c r="D56">
        <v>750</v>
      </c>
      <c r="E56" t="s">
        <v>468</v>
      </c>
    </row>
    <row r="57" spans="1:5" x14ac:dyDescent="0.25">
      <c r="A57">
        <v>377</v>
      </c>
      <c r="B57" t="s">
        <v>65</v>
      </c>
      <c r="C57">
        <v>941</v>
      </c>
      <c r="D57">
        <v>750</v>
      </c>
      <c r="E57" t="s">
        <v>468</v>
      </c>
    </row>
    <row r="58" spans="1:5" x14ac:dyDescent="0.25">
      <c r="A58">
        <v>378</v>
      </c>
      <c r="B58" t="s">
        <v>66</v>
      </c>
      <c r="C58">
        <v>926</v>
      </c>
      <c r="D58">
        <v>750</v>
      </c>
      <c r="E58" t="s">
        <v>468</v>
      </c>
    </row>
    <row r="59" spans="1:5" x14ac:dyDescent="0.25">
      <c r="A59">
        <v>379</v>
      </c>
      <c r="B59" t="s">
        <v>67</v>
      </c>
      <c r="C59">
        <v>1911</v>
      </c>
      <c r="D59">
        <v>750</v>
      </c>
      <c r="E59" t="s">
        <v>468</v>
      </c>
    </row>
    <row r="60" spans="1:5" x14ac:dyDescent="0.25">
      <c r="A60">
        <v>380</v>
      </c>
      <c r="B60" t="s">
        <v>68</v>
      </c>
      <c r="C60">
        <v>770</v>
      </c>
      <c r="D60">
        <v>750</v>
      </c>
      <c r="E60" t="s">
        <v>468</v>
      </c>
    </row>
    <row r="61" spans="1:5" x14ac:dyDescent="0.25">
      <c r="A61">
        <v>381</v>
      </c>
      <c r="B61" t="s">
        <v>69</v>
      </c>
      <c r="C61">
        <v>789</v>
      </c>
      <c r="D61">
        <v>750</v>
      </c>
      <c r="E61" t="s">
        <v>468</v>
      </c>
    </row>
    <row r="62" spans="1:5" x14ac:dyDescent="0.25">
      <c r="A62">
        <v>382</v>
      </c>
      <c r="B62" t="s">
        <v>70</v>
      </c>
      <c r="C62">
        <v>808</v>
      </c>
      <c r="D62">
        <v>750</v>
      </c>
      <c r="E62" t="s">
        <v>468</v>
      </c>
    </row>
    <row r="63" spans="1:5" x14ac:dyDescent="0.25">
      <c r="A63">
        <v>383</v>
      </c>
      <c r="B63" t="s">
        <v>71</v>
      </c>
      <c r="C63">
        <v>1901</v>
      </c>
      <c r="D63">
        <v>750</v>
      </c>
      <c r="E63" t="s">
        <v>468</v>
      </c>
    </row>
    <row r="64" spans="1:5" x14ac:dyDescent="0.25">
      <c r="A64">
        <v>384</v>
      </c>
      <c r="B64" t="s">
        <v>72</v>
      </c>
      <c r="C64">
        <v>820</v>
      </c>
      <c r="D64">
        <v>750</v>
      </c>
      <c r="E64" t="s">
        <v>468</v>
      </c>
    </row>
    <row r="65" spans="1:5" x14ac:dyDescent="0.25">
      <c r="A65">
        <v>385</v>
      </c>
      <c r="B65" t="s">
        <v>73</v>
      </c>
      <c r="C65">
        <v>1778</v>
      </c>
      <c r="D65">
        <v>750</v>
      </c>
      <c r="E65" t="s">
        <v>468</v>
      </c>
    </row>
    <row r="66" spans="1:5" x14ac:dyDescent="0.25">
      <c r="A66">
        <v>386</v>
      </c>
      <c r="B66" t="s">
        <v>74</v>
      </c>
      <c r="C66">
        <v>725</v>
      </c>
      <c r="D66">
        <v>750</v>
      </c>
      <c r="E66" t="s">
        <v>469</v>
      </c>
    </row>
    <row r="67" spans="1:5" x14ac:dyDescent="0.25">
      <c r="A67">
        <v>387</v>
      </c>
      <c r="B67" t="s">
        <v>75</v>
      </c>
      <c r="C67">
        <v>1888</v>
      </c>
      <c r="D67">
        <v>750</v>
      </c>
      <c r="E67" t="s">
        <v>468</v>
      </c>
    </row>
    <row r="68" spans="1:5" x14ac:dyDescent="0.25">
      <c r="A68">
        <v>388</v>
      </c>
      <c r="B68" t="s">
        <v>76</v>
      </c>
      <c r="C68">
        <v>798</v>
      </c>
      <c r="D68">
        <v>750</v>
      </c>
      <c r="E68" t="s">
        <v>468</v>
      </c>
    </row>
    <row r="69" spans="1:5" x14ac:dyDescent="0.25">
      <c r="A69">
        <v>389</v>
      </c>
      <c r="B69" t="s">
        <v>77</v>
      </c>
      <c r="C69">
        <v>1808</v>
      </c>
      <c r="D69">
        <v>750</v>
      </c>
      <c r="E69" t="s">
        <v>468</v>
      </c>
    </row>
    <row r="70" spans="1:5" x14ac:dyDescent="0.25">
      <c r="A70">
        <v>390</v>
      </c>
      <c r="B70" t="s">
        <v>78</v>
      </c>
      <c r="C70">
        <v>798</v>
      </c>
      <c r="D70">
        <v>750</v>
      </c>
      <c r="E70" t="s">
        <v>468</v>
      </c>
    </row>
    <row r="71" spans="1:5" x14ac:dyDescent="0.25">
      <c r="A71">
        <v>391</v>
      </c>
      <c r="B71" t="s">
        <v>79</v>
      </c>
      <c r="C71">
        <v>809</v>
      </c>
      <c r="D71">
        <v>750</v>
      </c>
      <c r="E71" t="s">
        <v>468</v>
      </c>
    </row>
    <row r="72" spans="1:5" x14ac:dyDescent="0.25">
      <c r="A72">
        <v>392</v>
      </c>
      <c r="B72" t="s">
        <v>80</v>
      </c>
      <c r="C72">
        <v>818</v>
      </c>
      <c r="D72">
        <v>750</v>
      </c>
      <c r="E72" t="s">
        <v>468</v>
      </c>
    </row>
    <row r="73" spans="1:5" x14ac:dyDescent="0.25">
      <c r="A73">
        <v>393</v>
      </c>
      <c r="B73" t="s">
        <v>81</v>
      </c>
      <c r="C73">
        <v>1880</v>
      </c>
      <c r="D73">
        <v>750</v>
      </c>
      <c r="E73" t="s">
        <v>468</v>
      </c>
    </row>
    <row r="74" spans="1:5" x14ac:dyDescent="0.25">
      <c r="A74">
        <v>394</v>
      </c>
      <c r="B74" t="s">
        <v>82</v>
      </c>
      <c r="C74">
        <v>911</v>
      </c>
      <c r="D74">
        <v>750</v>
      </c>
      <c r="E74" t="s">
        <v>468</v>
      </c>
    </row>
    <row r="75" spans="1:5" x14ac:dyDescent="0.25">
      <c r="A75">
        <v>395</v>
      </c>
      <c r="B75" t="s">
        <v>83</v>
      </c>
      <c r="C75">
        <v>784</v>
      </c>
      <c r="D75">
        <v>750</v>
      </c>
      <c r="E75" t="s">
        <v>468</v>
      </c>
    </row>
    <row r="76" spans="1:5" x14ac:dyDescent="0.25">
      <c r="A76">
        <v>396</v>
      </c>
      <c r="B76" t="s">
        <v>84</v>
      </c>
      <c r="C76">
        <v>1824</v>
      </c>
      <c r="D76">
        <v>750</v>
      </c>
      <c r="E76" t="s">
        <v>468</v>
      </c>
    </row>
    <row r="77" spans="1:5" x14ac:dyDescent="0.25">
      <c r="A77">
        <v>397</v>
      </c>
      <c r="B77" t="s">
        <v>85</v>
      </c>
      <c r="C77">
        <v>1652</v>
      </c>
      <c r="D77">
        <v>750</v>
      </c>
      <c r="E77" t="s">
        <v>468</v>
      </c>
    </row>
    <row r="78" spans="1:5" x14ac:dyDescent="0.25">
      <c r="A78">
        <v>398</v>
      </c>
      <c r="B78" t="s">
        <v>86</v>
      </c>
      <c r="C78">
        <v>1326</v>
      </c>
      <c r="D78">
        <v>600</v>
      </c>
      <c r="E78" t="s">
        <v>468</v>
      </c>
    </row>
    <row r="79" spans="1:5" x14ac:dyDescent="0.25">
      <c r="A79">
        <v>399</v>
      </c>
      <c r="B79" t="s">
        <v>88</v>
      </c>
      <c r="C79">
        <v>1308</v>
      </c>
      <c r="D79">
        <v>600</v>
      </c>
      <c r="E79" t="s">
        <v>468</v>
      </c>
    </row>
    <row r="80" spans="1:5" x14ac:dyDescent="0.25">
      <c r="A80">
        <v>400</v>
      </c>
      <c r="B80" t="s">
        <v>89</v>
      </c>
      <c r="C80">
        <v>790</v>
      </c>
      <c r="D80">
        <v>375</v>
      </c>
      <c r="E80" t="s">
        <v>468</v>
      </c>
    </row>
    <row r="81" spans="1:5" x14ac:dyDescent="0.25">
      <c r="A81">
        <v>401</v>
      </c>
      <c r="B81" t="s">
        <v>90</v>
      </c>
      <c r="C81">
        <v>797</v>
      </c>
      <c r="D81">
        <v>375</v>
      </c>
      <c r="E81" t="s">
        <v>468</v>
      </c>
    </row>
    <row r="82" spans="1:5" x14ac:dyDescent="0.25">
      <c r="A82">
        <v>402</v>
      </c>
      <c r="B82" t="s">
        <v>91</v>
      </c>
      <c r="C82">
        <v>990</v>
      </c>
      <c r="D82">
        <v>750</v>
      </c>
      <c r="E82" t="s">
        <v>468</v>
      </c>
    </row>
    <row r="83" spans="1:5" x14ac:dyDescent="0.25">
      <c r="A83">
        <v>403</v>
      </c>
      <c r="B83" t="s">
        <v>92</v>
      </c>
      <c r="C83">
        <v>981</v>
      </c>
      <c r="D83">
        <v>750</v>
      </c>
      <c r="E83" t="s">
        <v>468</v>
      </c>
    </row>
    <row r="84" spans="1:5" x14ac:dyDescent="0.25">
      <c r="A84">
        <v>404</v>
      </c>
      <c r="B84" t="s">
        <v>93</v>
      </c>
      <c r="C84">
        <v>972</v>
      </c>
      <c r="D84">
        <v>750</v>
      </c>
      <c r="E84" t="s">
        <v>468</v>
      </c>
    </row>
    <row r="85" spans="1:5" x14ac:dyDescent="0.25">
      <c r="A85">
        <v>405</v>
      </c>
      <c r="B85" t="s">
        <v>94</v>
      </c>
      <c r="C85">
        <v>963</v>
      </c>
      <c r="D85">
        <v>750</v>
      </c>
      <c r="E85" t="s">
        <v>468</v>
      </c>
    </row>
    <row r="86" spans="1:5" x14ac:dyDescent="0.25">
      <c r="A86">
        <v>406</v>
      </c>
      <c r="B86" t="s">
        <v>95</v>
      </c>
      <c r="C86">
        <v>952</v>
      </c>
      <c r="D86">
        <v>750</v>
      </c>
      <c r="E86" t="s">
        <v>468</v>
      </c>
    </row>
    <row r="87" spans="1:5" x14ac:dyDescent="0.25">
      <c r="A87">
        <v>407</v>
      </c>
      <c r="B87" t="s">
        <v>96</v>
      </c>
      <c r="C87">
        <v>1672</v>
      </c>
      <c r="D87">
        <v>750</v>
      </c>
      <c r="E87" t="s">
        <v>468</v>
      </c>
    </row>
    <row r="88" spans="1:5" x14ac:dyDescent="0.25">
      <c r="A88">
        <v>408</v>
      </c>
      <c r="B88" t="s">
        <v>97</v>
      </c>
      <c r="C88">
        <v>1057</v>
      </c>
      <c r="D88">
        <v>750</v>
      </c>
      <c r="E88" t="s">
        <v>468</v>
      </c>
    </row>
    <row r="89" spans="1:5" x14ac:dyDescent="0.25">
      <c r="A89">
        <v>409</v>
      </c>
      <c r="B89" t="s">
        <v>98</v>
      </c>
      <c r="C89">
        <v>1046</v>
      </c>
      <c r="D89">
        <v>750</v>
      </c>
      <c r="E89" t="s">
        <v>468</v>
      </c>
    </row>
    <row r="90" spans="1:5" x14ac:dyDescent="0.25">
      <c r="A90">
        <v>410</v>
      </c>
      <c r="B90" t="s">
        <v>99</v>
      </c>
      <c r="C90">
        <v>1037</v>
      </c>
      <c r="D90">
        <v>750</v>
      </c>
      <c r="E90" t="s">
        <v>468</v>
      </c>
    </row>
    <row r="91" spans="1:5" x14ac:dyDescent="0.25">
      <c r="A91">
        <v>411</v>
      </c>
      <c r="B91" t="s">
        <v>100</v>
      </c>
      <c r="C91">
        <v>1614</v>
      </c>
      <c r="D91">
        <v>750</v>
      </c>
      <c r="E91" t="s">
        <v>468</v>
      </c>
    </row>
    <row r="92" spans="1:5" x14ac:dyDescent="0.25">
      <c r="A92">
        <v>412</v>
      </c>
      <c r="B92" t="s">
        <v>101</v>
      </c>
      <c r="C92">
        <v>776</v>
      </c>
      <c r="D92">
        <v>750</v>
      </c>
      <c r="E92" t="s">
        <v>468</v>
      </c>
    </row>
    <row r="93" spans="1:5" x14ac:dyDescent="0.25">
      <c r="A93">
        <v>413</v>
      </c>
      <c r="B93" t="s">
        <v>102</v>
      </c>
      <c r="C93">
        <v>1703</v>
      </c>
      <c r="D93">
        <v>750</v>
      </c>
      <c r="E93" t="s">
        <v>468</v>
      </c>
    </row>
    <row r="94" spans="1:5" x14ac:dyDescent="0.25">
      <c r="A94">
        <v>414</v>
      </c>
      <c r="B94" t="s">
        <v>103</v>
      </c>
      <c r="C94">
        <v>1119</v>
      </c>
      <c r="D94">
        <v>750</v>
      </c>
      <c r="E94" t="s">
        <v>468</v>
      </c>
    </row>
    <row r="95" spans="1:5" x14ac:dyDescent="0.25">
      <c r="A95">
        <v>415</v>
      </c>
      <c r="B95" t="s">
        <v>104</v>
      </c>
      <c r="C95">
        <v>1104</v>
      </c>
      <c r="D95">
        <v>750</v>
      </c>
      <c r="E95" t="s">
        <v>468</v>
      </c>
    </row>
    <row r="96" spans="1:5" x14ac:dyDescent="0.25">
      <c r="A96">
        <v>416</v>
      </c>
      <c r="B96" t="s">
        <v>105</v>
      </c>
      <c r="C96">
        <v>1090</v>
      </c>
      <c r="D96">
        <v>750</v>
      </c>
      <c r="E96" t="s">
        <v>468</v>
      </c>
    </row>
    <row r="97" spans="1:5" x14ac:dyDescent="0.25">
      <c r="A97">
        <v>417</v>
      </c>
      <c r="B97" t="s">
        <v>106</v>
      </c>
      <c r="C97">
        <v>1715</v>
      </c>
      <c r="D97">
        <v>750</v>
      </c>
      <c r="E97" t="s">
        <v>468</v>
      </c>
    </row>
    <row r="98" spans="1:5" x14ac:dyDescent="0.25">
      <c r="A98">
        <v>418</v>
      </c>
      <c r="B98" t="s">
        <v>107</v>
      </c>
      <c r="C98">
        <v>919</v>
      </c>
      <c r="D98">
        <v>750</v>
      </c>
      <c r="E98" t="s">
        <v>468</v>
      </c>
    </row>
    <row r="99" spans="1:5" x14ac:dyDescent="0.25">
      <c r="A99">
        <v>419</v>
      </c>
      <c r="B99" t="s">
        <v>108</v>
      </c>
      <c r="C99">
        <v>914</v>
      </c>
      <c r="D99">
        <v>750</v>
      </c>
      <c r="E99" t="s">
        <v>468</v>
      </c>
    </row>
    <row r="100" spans="1:5" x14ac:dyDescent="0.25">
      <c r="A100">
        <v>420</v>
      </c>
      <c r="B100" t="s">
        <v>109</v>
      </c>
      <c r="C100">
        <v>909</v>
      </c>
      <c r="D100">
        <v>750</v>
      </c>
      <c r="E100" t="s">
        <v>468</v>
      </c>
    </row>
    <row r="101" spans="1:5" x14ac:dyDescent="0.25">
      <c r="A101">
        <v>421</v>
      </c>
      <c r="B101" t="s">
        <v>110</v>
      </c>
      <c r="C101">
        <v>905</v>
      </c>
      <c r="D101">
        <v>750</v>
      </c>
      <c r="E101" t="s">
        <v>468</v>
      </c>
    </row>
    <row r="102" spans="1:5" x14ac:dyDescent="0.25">
      <c r="A102">
        <v>422</v>
      </c>
      <c r="B102" t="s">
        <v>111</v>
      </c>
      <c r="C102">
        <v>1632</v>
      </c>
      <c r="D102">
        <v>750</v>
      </c>
      <c r="E102" t="s">
        <v>468</v>
      </c>
    </row>
    <row r="103" spans="1:5" x14ac:dyDescent="0.25">
      <c r="A103">
        <v>423</v>
      </c>
      <c r="B103" t="s">
        <v>112</v>
      </c>
      <c r="C103">
        <v>1628</v>
      </c>
      <c r="D103">
        <v>750</v>
      </c>
      <c r="E103" t="s">
        <v>468</v>
      </c>
    </row>
    <row r="104" spans="1:5" x14ac:dyDescent="0.25">
      <c r="A104">
        <v>424</v>
      </c>
      <c r="B104" t="s">
        <v>113</v>
      </c>
      <c r="C104">
        <v>1623</v>
      </c>
      <c r="D104">
        <v>750</v>
      </c>
      <c r="E104" t="s">
        <v>468</v>
      </c>
    </row>
    <row r="105" spans="1:5" x14ac:dyDescent="0.25">
      <c r="A105">
        <v>425</v>
      </c>
      <c r="B105" t="s">
        <v>114</v>
      </c>
      <c r="C105">
        <v>1618</v>
      </c>
      <c r="D105">
        <v>750</v>
      </c>
      <c r="E105" t="s">
        <v>468</v>
      </c>
    </row>
    <row r="106" spans="1:5" x14ac:dyDescent="0.25">
      <c r="A106">
        <v>426</v>
      </c>
      <c r="B106" t="s">
        <v>115</v>
      </c>
      <c r="C106">
        <v>1613</v>
      </c>
      <c r="D106">
        <v>750</v>
      </c>
      <c r="E106" t="s">
        <v>468</v>
      </c>
    </row>
    <row r="107" spans="1:5" x14ac:dyDescent="0.25">
      <c r="A107">
        <v>427</v>
      </c>
      <c r="B107" t="s">
        <v>116</v>
      </c>
      <c r="C107">
        <v>1608</v>
      </c>
      <c r="D107">
        <v>750</v>
      </c>
      <c r="E107" t="s">
        <v>468</v>
      </c>
    </row>
    <row r="108" spans="1:5" x14ac:dyDescent="0.25">
      <c r="A108">
        <v>428</v>
      </c>
      <c r="B108" t="s">
        <v>117</v>
      </c>
      <c r="C108">
        <v>1604</v>
      </c>
      <c r="D108">
        <v>750</v>
      </c>
      <c r="E108" t="s">
        <v>468</v>
      </c>
    </row>
    <row r="109" spans="1:5" x14ac:dyDescent="0.25">
      <c r="A109">
        <v>429</v>
      </c>
      <c r="B109" t="s">
        <v>118</v>
      </c>
      <c r="C109">
        <v>1599</v>
      </c>
      <c r="D109">
        <v>750</v>
      </c>
      <c r="E109" t="s">
        <v>468</v>
      </c>
    </row>
    <row r="110" spans="1:5" x14ac:dyDescent="0.25">
      <c r="A110">
        <v>430</v>
      </c>
      <c r="B110" t="s">
        <v>119</v>
      </c>
      <c r="C110">
        <v>1594</v>
      </c>
      <c r="D110">
        <v>750</v>
      </c>
      <c r="E110" t="s">
        <v>468</v>
      </c>
    </row>
    <row r="111" spans="1:5" x14ac:dyDescent="0.25">
      <c r="A111">
        <v>431</v>
      </c>
      <c r="B111" t="s">
        <v>120</v>
      </c>
      <c r="C111">
        <v>1604</v>
      </c>
      <c r="D111">
        <v>750</v>
      </c>
      <c r="E111" t="s">
        <v>468</v>
      </c>
    </row>
    <row r="112" spans="1:5" x14ac:dyDescent="0.25">
      <c r="A112">
        <v>432</v>
      </c>
      <c r="B112" t="s">
        <v>121</v>
      </c>
      <c r="C112">
        <v>1613</v>
      </c>
      <c r="D112">
        <v>750</v>
      </c>
      <c r="E112" t="s">
        <v>468</v>
      </c>
    </row>
    <row r="113" spans="1:5" x14ac:dyDescent="0.25">
      <c r="A113">
        <v>433</v>
      </c>
      <c r="B113" t="s">
        <v>122</v>
      </c>
      <c r="C113">
        <v>1623</v>
      </c>
      <c r="D113">
        <v>750</v>
      </c>
      <c r="E113" t="s">
        <v>468</v>
      </c>
    </row>
    <row r="114" spans="1:5" x14ac:dyDescent="0.25">
      <c r="A114">
        <v>434</v>
      </c>
      <c r="B114" t="s">
        <v>123</v>
      </c>
      <c r="C114">
        <v>1632</v>
      </c>
      <c r="D114">
        <v>750</v>
      </c>
      <c r="E114" t="s">
        <v>468</v>
      </c>
    </row>
    <row r="115" spans="1:5" x14ac:dyDescent="0.25">
      <c r="A115">
        <v>435</v>
      </c>
      <c r="B115" t="s">
        <v>124</v>
      </c>
      <c r="C115">
        <v>1642</v>
      </c>
      <c r="D115">
        <v>750</v>
      </c>
      <c r="E115" t="s">
        <v>468</v>
      </c>
    </row>
    <row r="116" spans="1:5" x14ac:dyDescent="0.25">
      <c r="A116">
        <v>436</v>
      </c>
      <c r="B116" t="s">
        <v>125</v>
      </c>
      <c r="C116">
        <v>1652</v>
      </c>
      <c r="D116">
        <v>750</v>
      </c>
      <c r="E116" t="s">
        <v>468</v>
      </c>
    </row>
    <row r="117" spans="1:5" x14ac:dyDescent="0.25">
      <c r="A117">
        <v>437</v>
      </c>
      <c r="B117" t="s">
        <v>126</v>
      </c>
      <c r="C117">
        <v>1661</v>
      </c>
      <c r="D117">
        <v>750</v>
      </c>
      <c r="E117" t="s">
        <v>468</v>
      </c>
    </row>
    <row r="118" spans="1:5" x14ac:dyDescent="0.25">
      <c r="A118">
        <v>438</v>
      </c>
      <c r="B118" t="s">
        <v>127</v>
      </c>
      <c r="C118">
        <v>1671</v>
      </c>
      <c r="D118">
        <v>750</v>
      </c>
      <c r="E118" t="s">
        <v>468</v>
      </c>
    </row>
    <row r="119" spans="1:5" x14ac:dyDescent="0.25">
      <c r="A119">
        <v>439</v>
      </c>
      <c r="B119" t="s">
        <v>128</v>
      </c>
      <c r="C119">
        <v>1680</v>
      </c>
      <c r="D119">
        <v>750</v>
      </c>
      <c r="E119" t="s">
        <v>468</v>
      </c>
    </row>
    <row r="120" spans="1:5" x14ac:dyDescent="0.25">
      <c r="A120">
        <v>440</v>
      </c>
      <c r="B120" t="s">
        <v>129</v>
      </c>
      <c r="C120">
        <v>1690</v>
      </c>
      <c r="D120">
        <v>750</v>
      </c>
      <c r="E120" t="s">
        <v>468</v>
      </c>
    </row>
    <row r="121" spans="1:5" x14ac:dyDescent="0.25">
      <c r="A121">
        <v>441</v>
      </c>
      <c r="B121" t="s">
        <v>130</v>
      </c>
      <c r="C121">
        <v>1676</v>
      </c>
      <c r="D121">
        <v>750</v>
      </c>
      <c r="E121" t="s">
        <v>468</v>
      </c>
    </row>
    <row r="122" spans="1:5" x14ac:dyDescent="0.25">
      <c r="A122">
        <v>442</v>
      </c>
      <c r="B122" t="s">
        <v>131</v>
      </c>
      <c r="C122">
        <v>1661</v>
      </c>
      <c r="D122">
        <v>750</v>
      </c>
      <c r="E122" t="s">
        <v>468</v>
      </c>
    </row>
    <row r="123" spans="1:5" x14ac:dyDescent="0.25">
      <c r="A123">
        <v>443</v>
      </c>
      <c r="B123" t="s">
        <v>132</v>
      </c>
      <c r="C123">
        <v>1647</v>
      </c>
      <c r="D123">
        <v>750</v>
      </c>
      <c r="E123" t="s">
        <v>468</v>
      </c>
    </row>
    <row r="124" spans="1:5" x14ac:dyDescent="0.25">
      <c r="A124">
        <v>444</v>
      </c>
      <c r="B124" t="s">
        <v>133</v>
      </c>
      <c r="C124">
        <v>1632</v>
      </c>
      <c r="D124">
        <v>750</v>
      </c>
      <c r="E124" t="s">
        <v>468</v>
      </c>
    </row>
    <row r="125" spans="1:5" x14ac:dyDescent="0.25">
      <c r="A125">
        <v>445</v>
      </c>
      <c r="B125" t="s">
        <v>134</v>
      </c>
      <c r="C125">
        <v>1618</v>
      </c>
      <c r="D125">
        <v>750</v>
      </c>
      <c r="E125" t="s">
        <v>468</v>
      </c>
    </row>
    <row r="126" spans="1:5" x14ac:dyDescent="0.25">
      <c r="A126">
        <v>446</v>
      </c>
      <c r="B126" t="s">
        <v>135</v>
      </c>
      <c r="C126">
        <v>1604</v>
      </c>
      <c r="D126">
        <v>750</v>
      </c>
      <c r="E126" t="s">
        <v>468</v>
      </c>
    </row>
    <row r="127" spans="1:5" x14ac:dyDescent="0.25">
      <c r="A127">
        <v>447</v>
      </c>
      <c r="B127" t="s">
        <v>136</v>
      </c>
      <c r="C127">
        <v>1589</v>
      </c>
      <c r="D127">
        <v>750</v>
      </c>
      <c r="E127" t="s">
        <v>468</v>
      </c>
    </row>
    <row r="128" spans="1:5" x14ac:dyDescent="0.25">
      <c r="A128">
        <v>448</v>
      </c>
      <c r="B128" t="s">
        <v>137</v>
      </c>
      <c r="C128">
        <v>1575</v>
      </c>
      <c r="D128">
        <v>750</v>
      </c>
      <c r="E128" t="s">
        <v>468</v>
      </c>
    </row>
    <row r="129" spans="1:5" x14ac:dyDescent="0.25">
      <c r="A129">
        <v>449</v>
      </c>
      <c r="B129" t="s">
        <v>138</v>
      </c>
      <c r="C129">
        <v>1560</v>
      </c>
      <c r="D129">
        <v>750</v>
      </c>
      <c r="E129" t="s">
        <v>468</v>
      </c>
    </row>
    <row r="130" spans="1:5" x14ac:dyDescent="0.25">
      <c r="A130">
        <v>450</v>
      </c>
      <c r="B130" t="s">
        <v>139</v>
      </c>
      <c r="C130">
        <v>1546</v>
      </c>
      <c r="D130">
        <v>750</v>
      </c>
      <c r="E130" t="s">
        <v>468</v>
      </c>
    </row>
    <row r="131" spans="1:5" x14ac:dyDescent="0.25">
      <c r="A131">
        <v>451</v>
      </c>
      <c r="B131" t="s">
        <v>140</v>
      </c>
      <c r="C131">
        <v>1556</v>
      </c>
      <c r="D131">
        <v>750</v>
      </c>
      <c r="E131" t="s">
        <v>468</v>
      </c>
    </row>
    <row r="132" spans="1:5" x14ac:dyDescent="0.25">
      <c r="A132">
        <v>452</v>
      </c>
      <c r="B132" t="s">
        <v>141</v>
      </c>
      <c r="C132">
        <v>1565</v>
      </c>
      <c r="D132">
        <v>750</v>
      </c>
      <c r="E132" t="s">
        <v>468</v>
      </c>
    </row>
    <row r="133" spans="1:5" x14ac:dyDescent="0.25">
      <c r="A133">
        <v>453</v>
      </c>
      <c r="B133" t="s">
        <v>142</v>
      </c>
      <c r="C133">
        <v>1575</v>
      </c>
      <c r="D133">
        <v>750</v>
      </c>
      <c r="E133" t="s">
        <v>468</v>
      </c>
    </row>
    <row r="134" spans="1:5" x14ac:dyDescent="0.25">
      <c r="A134">
        <v>454</v>
      </c>
      <c r="B134" t="s">
        <v>143</v>
      </c>
      <c r="C134">
        <v>1584</v>
      </c>
      <c r="D134">
        <v>750</v>
      </c>
      <c r="E134" t="s">
        <v>468</v>
      </c>
    </row>
    <row r="135" spans="1:5" x14ac:dyDescent="0.25">
      <c r="A135">
        <v>455</v>
      </c>
      <c r="B135" t="s">
        <v>144</v>
      </c>
      <c r="C135">
        <v>1594</v>
      </c>
      <c r="D135">
        <v>750</v>
      </c>
      <c r="E135" t="s">
        <v>468</v>
      </c>
    </row>
    <row r="136" spans="1:5" x14ac:dyDescent="0.25">
      <c r="A136">
        <v>456</v>
      </c>
      <c r="B136" t="s">
        <v>145</v>
      </c>
      <c r="C136">
        <v>1604</v>
      </c>
      <c r="D136">
        <v>750</v>
      </c>
      <c r="E136" t="s">
        <v>468</v>
      </c>
    </row>
    <row r="137" spans="1:5" x14ac:dyDescent="0.25">
      <c r="A137">
        <v>457</v>
      </c>
      <c r="B137" t="s">
        <v>146</v>
      </c>
      <c r="C137">
        <v>1613</v>
      </c>
      <c r="D137">
        <v>750</v>
      </c>
      <c r="E137" t="s">
        <v>468</v>
      </c>
    </row>
    <row r="138" spans="1:5" x14ac:dyDescent="0.25">
      <c r="A138">
        <v>458</v>
      </c>
      <c r="B138" t="s">
        <v>147</v>
      </c>
      <c r="C138">
        <v>1623</v>
      </c>
      <c r="D138">
        <v>750</v>
      </c>
      <c r="E138" t="s">
        <v>468</v>
      </c>
    </row>
    <row r="139" spans="1:5" x14ac:dyDescent="0.25">
      <c r="A139">
        <v>459</v>
      </c>
      <c r="B139" t="s">
        <v>148</v>
      </c>
      <c r="C139">
        <v>1632</v>
      </c>
      <c r="D139">
        <v>750</v>
      </c>
      <c r="E139" t="s">
        <v>468</v>
      </c>
    </row>
    <row r="140" spans="1:5" x14ac:dyDescent="0.25">
      <c r="A140">
        <v>460</v>
      </c>
      <c r="B140" t="s">
        <v>149</v>
      </c>
      <c r="C140">
        <v>1642</v>
      </c>
      <c r="D140">
        <v>750</v>
      </c>
      <c r="E140" t="s">
        <v>468</v>
      </c>
    </row>
    <row r="141" spans="1:5" x14ac:dyDescent="0.25">
      <c r="A141">
        <v>461</v>
      </c>
      <c r="B141" t="s">
        <v>150</v>
      </c>
      <c r="C141">
        <v>1652</v>
      </c>
      <c r="D141">
        <v>750</v>
      </c>
      <c r="E141" t="s">
        <v>468</v>
      </c>
    </row>
    <row r="142" spans="1:5" x14ac:dyDescent="0.25">
      <c r="A142">
        <v>462</v>
      </c>
      <c r="B142" t="s">
        <v>151</v>
      </c>
      <c r="C142">
        <v>701</v>
      </c>
      <c r="D142">
        <v>750</v>
      </c>
      <c r="E142" t="s">
        <v>469</v>
      </c>
    </row>
    <row r="143" spans="1:5" x14ac:dyDescent="0.25">
      <c r="A143">
        <v>463</v>
      </c>
      <c r="B143" t="s">
        <v>152</v>
      </c>
      <c r="C143">
        <v>1685</v>
      </c>
      <c r="D143">
        <v>750</v>
      </c>
      <c r="E143" t="s">
        <v>468</v>
      </c>
    </row>
    <row r="144" spans="1:5" x14ac:dyDescent="0.25">
      <c r="A144">
        <v>464</v>
      </c>
      <c r="B144" t="s">
        <v>153</v>
      </c>
      <c r="C144">
        <v>1690</v>
      </c>
      <c r="D144">
        <v>750</v>
      </c>
      <c r="E144" t="s">
        <v>468</v>
      </c>
    </row>
    <row r="145" spans="1:5" x14ac:dyDescent="0.25">
      <c r="A145">
        <v>465</v>
      </c>
      <c r="B145" t="s">
        <v>154</v>
      </c>
      <c r="C145">
        <v>1695</v>
      </c>
      <c r="D145">
        <v>750</v>
      </c>
      <c r="E145" t="s">
        <v>468</v>
      </c>
    </row>
    <row r="146" spans="1:5" x14ac:dyDescent="0.25">
      <c r="A146">
        <v>466</v>
      </c>
      <c r="B146" t="s">
        <v>155</v>
      </c>
      <c r="C146">
        <v>1700</v>
      </c>
      <c r="D146">
        <v>750</v>
      </c>
      <c r="E146" t="s">
        <v>468</v>
      </c>
    </row>
    <row r="147" spans="1:5" x14ac:dyDescent="0.25">
      <c r="A147">
        <v>467</v>
      </c>
      <c r="B147" t="s">
        <v>156</v>
      </c>
      <c r="C147">
        <v>1704</v>
      </c>
      <c r="D147">
        <v>750</v>
      </c>
      <c r="E147" t="s">
        <v>468</v>
      </c>
    </row>
    <row r="148" spans="1:5" x14ac:dyDescent="0.25">
      <c r="A148">
        <v>468</v>
      </c>
      <c r="B148" t="s">
        <v>157</v>
      </c>
      <c r="C148">
        <v>1709</v>
      </c>
      <c r="D148">
        <v>750</v>
      </c>
      <c r="E148" t="s">
        <v>468</v>
      </c>
    </row>
    <row r="149" spans="1:5" x14ac:dyDescent="0.25">
      <c r="A149">
        <v>469</v>
      </c>
      <c r="B149" t="s">
        <v>158</v>
      </c>
      <c r="C149">
        <v>1714</v>
      </c>
      <c r="D149">
        <v>750</v>
      </c>
      <c r="E149" t="s">
        <v>468</v>
      </c>
    </row>
    <row r="150" spans="1:5" x14ac:dyDescent="0.25">
      <c r="A150">
        <v>470</v>
      </c>
      <c r="B150" t="s">
        <v>159</v>
      </c>
      <c r="C150">
        <v>1719</v>
      </c>
      <c r="D150">
        <v>750</v>
      </c>
      <c r="E150" t="s">
        <v>468</v>
      </c>
    </row>
    <row r="151" spans="1:5" x14ac:dyDescent="0.25">
      <c r="A151">
        <v>471</v>
      </c>
      <c r="B151" t="s">
        <v>160</v>
      </c>
      <c r="C151">
        <v>1724</v>
      </c>
      <c r="D151">
        <v>750</v>
      </c>
      <c r="E151" t="s">
        <v>468</v>
      </c>
    </row>
    <row r="152" spans="1:5" x14ac:dyDescent="0.25">
      <c r="A152">
        <v>472</v>
      </c>
      <c r="B152" t="s">
        <v>161</v>
      </c>
      <c r="C152">
        <v>1728</v>
      </c>
      <c r="D152">
        <v>750</v>
      </c>
      <c r="E152" t="s">
        <v>468</v>
      </c>
    </row>
    <row r="153" spans="1:5" x14ac:dyDescent="0.25">
      <c r="A153">
        <v>473</v>
      </c>
      <c r="B153" t="s">
        <v>162</v>
      </c>
      <c r="C153">
        <v>1733</v>
      </c>
      <c r="D153">
        <v>750</v>
      </c>
      <c r="E153" t="s">
        <v>468</v>
      </c>
    </row>
    <row r="154" spans="1:5" x14ac:dyDescent="0.25">
      <c r="A154">
        <v>474</v>
      </c>
      <c r="B154" t="s">
        <v>163</v>
      </c>
      <c r="C154">
        <v>1738</v>
      </c>
      <c r="D154">
        <v>750</v>
      </c>
      <c r="E154" t="s">
        <v>468</v>
      </c>
    </row>
    <row r="155" spans="1:5" x14ac:dyDescent="0.25">
      <c r="A155">
        <v>475</v>
      </c>
      <c r="B155" t="s">
        <v>164</v>
      </c>
      <c r="C155">
        <v>1743</v>
      </c>
      <c r="D155">
        <v>750</v>
      </c>
      <c r="E155" t="s">
        <v>468</v>
      </c>
    </row>
    <row r="156" spans="1:5" x14ac:dyDescent="0.25">
      <c r="A156">
        <v>476</v>
      </c>
      <c r="B156" t="s">
        <v>165</v>
      </c>
      <c r="C156">
        <v>1083</v>
      </c>
      <c r="D156">
        <v>750</v>
      </c>
      <c r="E156" t="s">
        <v>468</v>
      </c>
    </row>
    <row r="157" spans="1:5" x14ac:dyDescent="0.25">
      <c r="A157">
        <v>477</v>
      </c>
      <c r="B157" t="s">
        <v>166</v>
      </c>
      <c r="C157">
        <v>1079</v>
      </c>
      <c r="D157">
        <v>750</v>
      </c>
      <c r="E157" t="s">
        <v>468</v>
      </c>
    </row>
    <row r="158" spans="1:5" x14ac:dyDescent="0.25">
      <c r="A158">
        <v>478</v>
      </c>
      <c r="B158" t="s">
        <v>168</v>
      </c>
      <c r="C158">
        <v>1687</v>
      </c>
      <c r="D158">
        <v>750</v>
      </c>
      <c r="E158" t="s">
        <v>468</v>
      </c>
    </row>
    <row r="159" spans="1:5" x14ac:dyDescent="0.25">
      <c r="A159">
        <v>479</v>
      </c>
      <c r="B159" t="s">
        <v>169</v>
      </c>
      <c r="C159">
        <v>1029</v>
      </c>
      <c r="D159">
        <v>750</v>
      </c>
      <c r="E159" t="s">
        <v>468</v>
      </c>
    </row>
    <row r="160" spans="1:5" x14ac:dyDescent="0.25">
      <c r="A160">
        <v>480</v>
      </c>
      <c r="B160" t="s">
        <v>170</v>
      </c>
      <c r="C160">
        <v>1661</v>
      </c>
      <c r="D160">
        <v>750</v>
      </c>
      <c r="E160" t="s">
        <v>468</v>
      </c>
    </row>
    <row r="161" spans="1:5" x14ac:dyDescent="0.25">
      <c r="A161">
        <v>481</v>
      </c>
      <c r="B161" t="s">
        <v>171</v>
      </c>
      <c r="C161">
        <v>997</v>
      </c>
      <c r="D161">
        <v>750</v>
      </c>
      <c r="E161" t="s">
        <v>468</v>
      </c>
    </row>
    <row r="162" spans="1:5" x14ac:dyDescent="0.25">
      <c r="A162">
        <v>482</v>
      </c>
      <c r="B162" t="s">
        <v>172</v>
      </c>
      <c r="C162">
        <v>924</v>
      </c>
      <c r="D162">
        <v>750</v>
      </c>
      <c r="E162" t="s">
        <v>468</v>
      </c>
    </row>
    <row r="163" spans="1:5" x14ac:dyDescent="0.25">
      <c r="A163">
        <v>483</v>
      </c>
      <c r="B163" t="s">
        <v>173</v>
      </c>
      <c r="C163">
        <v>1681</v>
      </c>
      <c r="D163">
        <v>750</v>
      </c>
      <c r="E163" t="s">
        <v>468</v>
      </c>
    </row>
    <row r="164" spans="1:5" x14ac:dyDescent="0.25">
      <c r="A164">
        <v>484</v>
      </c>
      <c r="B164" t="s">
        <v>174</v>
      </c>
      <c r="C164">
        <v>997</v>
      </c>
      <c r="D164">
        <v>750</v>
      </c>
      <c r="E164" t="s">
        <v>468</v>
      </c>
    </row>
    <row r="165" spans="1:5" x14ac:dyDescent="0.25">
      <c r="A165">
        <v>485</v>
      </c>
      <c r="B165" t="s">
        <v>175</v>
      </c>
      <c r="C165">
        <v>924</v>
      </c>
      <c r="D165">
        <v>750</v>
      </c>
      <c r="E165" t="s">
        <v>468</v>
      </c>
    </row>
    <row r="166" spans="1:5" x14ac:dyDescent="0.25">
      <c r="A166">
        <v>486</v>
      </c>
      <c r="B166" t="s">
        <v>176</v>
      </c>
      <c r="C166">
        <v>1661</v>
      </c>
      <c r="D166">
        <v>750</v>
      </c>
      <c r="E166" t="s">
        <v>468</v>
      </c>
    </row>
    <row r="167" spans="1:5" x14ac:dyDescent="0.25">
      <c r="A167">
        <v>487</v>
      </c>
      <c r="B167" t="s">
        <v>177</v>
      </c>
      <c r="C167">
        <v>992</v>
      </c>
      <c r="D167">
        <v>750</v>
      </c>
      <c r="E167" t="s">
        <v>468</v>
      </c>
    </row>
    <row r="168" spans="1:5" x14ac:dyDescent="0.25">
      <c r="A168">
        <v>488</v>
      </c>
      <c r="B168" t="s">
        <v>178</v>
      </c>
      <c r="C168">
        <v>935</v>
      </c>
      <c r="D168">
        <v>750</v>
      </c>
      <c r="E168" t="s">
        <v>468</v>
      </c>
    </row>
    <row r="169" spans="1:5" x14ac:dyDescent="0.25">
      <c r="A169">
        <v>489</v>
      </c>
      <c r="B169" t="s">
        <v>179</v>
      </c>
      <c r="C169">
        <v>1837</v>
      </c>
      <c r="D169">
        <v>750</v>
      </c>
      <c r="E169" t="s">
        <v>468</v>
      </c>
    </row>
    <row r="170" spans="1:5" x14ac:dyDescent="0.25">
      <c r="A170">
        <v>490</v>
      </c>
      <c r="B170" t="s">
        <v>180</v>
      </c>
      <c r="C170">
        <v>1780</v>
      </c>
      <c r="D170">
        <v>750</v>
      </c>
      <c r="E170" t="s">
        <v>468</v>
      </c>
    </row>
    <row r="171" spans="1:5" x14ac:dyDescent="0.25">
      <c r="A171">
        <v>491</v>
      </c>
      <c r="B171" t="s">
        <v>181</v>
      </c>
      <c r="C171">
        <v>922</v>
      </c>
      <c r="D171">
        <v>750</v>
      </c>
      <c r="E171" t="s">
        <v>468</v>
      </c>
    </row>
    <row r="172" spans="1:5" x14ac:dyDescent="0.25">
      <c r="A172">
        <v>492</v>
      </c>
      <c r="B172" t="s">
        <v>182</v>
      </c>
      <c r="C172">
        <v>47</v>
      </c>
      <c r="D172">
        <v>45</v>
      </c>
      <c r="E172" t="s">
        <v>468</v>
      </c>
    </row>
    <row r="173" spans="1:5" x14ac:dyDescent="0.25">
      <c r="A173">
        <v>493</v>
      </c>
      <c r="B173" t="s">
        <v>186</v>
      </c>
      <c r="C173">
        <v>93</v>
      </c>
      <c r="D173">
        <v>45</v>
      </c>
      <c r="E173" t="s">
        <v>468</v>
      </c>
    </row>
    <row r="174" spans="1:5" x14ac:dyDescent="0.25">
      <c r="A174">
        <v>494</v>
      </c>
      <c r="B174" t="s">
        <v>187</v>
      </c>
      <c r="C174">
        <v>65</v>
      </c>
      <c r="D174">
        <v>45</v>
      </c>
      <c r="E174" t="s">
        <v>468</v>
      </c>
    </row>
    <row r="175" spans="1:5" x14ac:dyDescent="0.25">
      <c r="A175">
        <v>495</v>
      </c>
      <c r="B175" t="s">
        <v>188</v>
      </c>
      <c r="C175">
        <v>109</v>
      </c>
      <c r="D175">
        <v>45</v>
      </c>
      <c r="E175" t="s">
        <v>468</v>
      </c>
    </row>
    <row r="176" spans="1:5" x14ac:dyDescent="0.25">
      <c r="A176">
        <v>496</v>
      </c>
      <c r="B176" t="s">
        <v>189</v>
      </c>
      <c r="C176">
        <v>99</v>
      </c>
      <c r="D176">
        <v>45</v>
      </c>
      <c r="E176" t="s">
        <v>468</v>
      </c>
    </row>
    <row r="177" spans="1:5" x14ac:dyDescent="0.25">
      <c r="A177">
        <v>497</v>
      </c>
      <c r="B177" t="s">
        <v>190</v>
      </c>
      <c r="C177">
        <v>973</v>
      </c>
      <c r="D177">
        <v>750</v>
      </c>
      <c r="E177" t="s">
        <v>468</v>
      </c>
    </row>
    <row r="178" spans="1:5" x14ac:dyDescent="0.25">
      <c r="A178">
        <v>504</v>
      </c>
      <c r="B178" t="s">
        <v>191</v>
      </c>
      <c r="C178">
        <v>1084</v>
      </c>
      <c r="D178">
        <v>750</v>
      </c>
      <c r="E178" t="s">
        <v>468</v>
      </c>
    </row>
    <row r="179" spans="1:5" x14ac:dyDescent="0.25">
      <c r="A179">
        <v>505</v>
      </c>
      <c r="B179" t="s">
        <v>192</v>
      </c>
      <c r="C179">
        <v>970</v>
      </c>
      <c r="D179">
        <v>750</v>
      </c>
      <c r="E179" t="s">
        <v>468</v>
      </c>
    </row>
    <row r="180" spans="1:5" x14ac:dyDescent="0.25">
      <c r="A180">
        <v>506</v>
      </c>
      <c r="B180" t="s">
        <v>193</v>
      </c>
      <c r="C180">
        <v>827</v>
      </c>
      <c r="D180">
        <v>750</v>
      </c>
      <c r="E180" t="s">
        <v>468</v>
      </c>
    </row>
    <row r="181" spans="1:5" x14ac:dyDescent="0.25">
      <c r="A181">
        <v>507</v>
      </c>
      <c r="B181" t="s">
        <v>194</v>
      </c>
      <c r="C181">
        <v>1215</v>
      </c>
      <c r="D181">
        <v>600</v>
      </c>
      <c r="E181" t="s">
        <v>468</v>
      </c>
    </row>
    <row r="182" spans="1:5" x14ac:dyDescent="0.25">
      <c r="A182">
        <v>508</v>
      </c>
      <c r="B182" t="s">
        <v>195</v>
      </c>
      <c r="C182">
        <v>1231</v>
      </c>
      <c r="D182">
        <v>600</v>
      </c>
      <c r="E182" t="s">
        <v>468</v>
      </c>
    </row>
    <row r="183" spans="1:5" x14ac:dyDescent="0.25">
      <c r="A183">
        <v>509</v>
      </c>
      <c r="B183" t="s">
        <v>196</v>
      </c>
      <c r="C183">
        <v>1247</v>
      </c>
      <c r="D183">
        <v>600</v>
      </c>
      <c r="E183" t="s">
        <v>468</v>
      </c>
    </row>
    <row r="184" spans="1:5" x14ac:dyDescent="0.25">
      <c r="A184">
        <v>510</v>
      </c>
      <c r="B184" t="s">
        <v>197</v>
      </c>
      <c r="C184">
        <v>722</v>
      </c>
      <c r="D184">
        <v>600</v>
      </c>
      <c r="E184" t="s">
        <v>468</v>
      </c>
    </row>
    <row r="185" spans="1:5" x14ac:dyDescent="0.25">
      <c r="A185">
        <v>511</v>
      </c>
      <c r="B185" t="s">
        <v>198</v>
      </c>
      <c r="C185">
        <v>740</v>
      </c>
      <c r="D185">
        <v>600</v>
      </c>
      <c r="E185" t="s">
        <v>468</v>
      </c>
    </row>
    <row r="186" spans="1:5" x14ac:dyDescent="0.25">
      <c r="A186">
        <v>512</v>
      </c>
      <c r="B186" t="s">
        <v>199</v>
      </c>
      <c r="C186">
        <v>615</v>
      </c>
      <c r="D186">
        <v>600</v>
      </c>
      <c r="E186" t="s">
        <v>468</v>
      </c>
    </row>
    <row r="187" spans="1:5" x14ac:dyDescent="0.25">
      <c r="A187">
        <v>513</v>
      </c>
      <c r="B187" t="s">
        <v>200</v>
      </c>
      <c r="C187">
        <v>1364</v>
      </c>
      <c r="D187">
        <v>600</v>
      </c>
      <c r="E187" t="s">
        <v>468</v>
      </c>
    </row>
    <row r="188" spans="1:5" x14ac:dyDescent="0.25">
      <c r="A188">
        <v>514</v>
      </c>
      <c r="B188" t="s">
        <v>201</v>
      </c>
      <c r="C188">
        <v>797</v>
      </c>
      <c r="D188">
        <v>375</v>
      </c>
      <c r="E188" t="s">
        <v>468</v>
      </c>
    </row>
    <row r="189" spans="1:5" x14ac:dyDescent="0.25">
      <c r="A189">
        <v>515</v>
      </c>
      <c r="B189" t="s">
        <v>202</v>
      </c>
      <c r="C189">
        <v>802</v>
      </c>
      <c r="D189">
        <v>375</v>
      </c>
      <c r="E189" t="s">
        <v>468</v>
      </c>
    </row>
    <row r="190" spans="1:5" x14ac:dyDescent="0.25">
      <c r="A190">
        <v>516</v>
      </c>
      <c r="B190" t="s">
        <v>203</v>
      </c>
      <c r="C190">
        <v>807</v>
      </c>
      <c r="D190">
        <v>375</v>
      </c>
      <c r="E190" t="s">
        <v>468</v>
      </c>
    </row>
    <row r="191" spans="1:5" x14ac:dyDescent="0.25">
      <c r="A191">
        <v>517</v>
      </c>
      <c r="B191" t="s">
        <v>204</v>
      </c>
      <c r="C191">
        <v>812</v>
      </c>
      <c r="D191">
        <v>375</v>
      </c>
      <c r="E191" t="s">
        <v>468</v>
      </c>
    </row>
    <row r="192" spans="1:5" x14ac:dyDescent="0.25">
      <c r="A192">
        <v>518</v>
      </c>
      <c r="B192" t="s">
        <v>205</v>
      </c>
      <c r="C192">
        <v>816</v>
      </c>
      <c r="D192">
        <v>375</v>
      </c>
      <c r="E192" t="s">
        <v>468</v>
      </c>
    </row>
    <row r="193" spans="1:5" x14ac:dyDescent="0.25">
      <c r="A193">
        <v>519</v>
      </c>
      <c r="B193" t="s">
        <v>206</v>
      </c>
      <c r="C193">
        <v>821</v>
      </c>
      <c r="D193">
        <v>375</v>
      </c>
      <c r="E193" t="s">
        <v>468</v>
      </c>
    </row>
    <row r="194" spans="1:5" x14ac:dyDescent="0.25">
      <c r="A194">
        <v>520</v>
      </c>
      <c r="B194" t="s">
        <v>207</v>
      </c>
      <c r="C194">
        <v>826</v>
      </c>
      <c r="D194">
        <v>375</v>
      </c>
      <c r="E194" t="s">
        <v>468</v>
      </c>
    </row>
    <row r="195" spans="1:5" x14ac:dyDescent="0.25">
      <c r="A195">
        <v>521</v>
      </c>
      <c r="B195" t="s">
        <v>208</v>
      </c>
      <c r="C195">
        <v>831</v>
      </c>
      <c r="D195">
        <v>375</v>
      </c>
      <c r="E195" t="s">
        <v>468</v>
      </c>
    </row>
    <row r="196" spans="1:5" x14ac:dyDescent="0.25">
      <c r="A196">
        <v>522</v>
      </c>
      <c r="B196" t="s">
        <v>209</v>
      </c>
      <c r="C196">
        <v>836</v>
      </c>
      <c r="D196">
        <v>375</v>
      </c>
      <c r="E196" t="s">
        <v>468</v>
      </c>
    </row>
    <row r="197" spans="1:5" x14ac:dyDescent="0.25">
      <c r="A197">
        <v>523</v>
      </c>
      <c r="B197" t="s">
        <v>210</v>
      </c>
      <c r="C197">
        <v>512</v>
      </c>
      <c r="D197">
        <v>375</v>
      </c>
      <c r="E197" t="s">
        <v>468</v>
      </c>
    </row>
    <row r="198" spans="1:5" x14ac:dyDescent="0.25">
      <c r="A198">
        <v>524</v>
      </c>
      <c r="B198" t="s">
        <v>211</v>
      </c>
      <c r="C198">
        <v>459</v>
      </c>
      <c r="D198">
        <v>375</v>
      </c>
      <c r="E198" t="s">
        <v>468</v>
      </c>
    </row>
    <row r="199" spans="1:5" x14ac:dyDescent="0.25">
      <c r="A199">
        <v>525</v>
      </c>
      <c r="B199" t="s">
        <v>212</v>
      </c>
      <c r="C199">
        <v>1263</v>
      </c>
      <c r="D199">
        <v>600</v>
      </c>
      <c r="E199" t="s">
        <v>468</v>
      </c>
    </row>
    <row r="200" spans="1:5" x14ac:dyDescent="0.25">
      <c r="A200">
        <v>526</v>
      </c>
      <c r="B200" t="s">
        <v>213</v>
      </c>
      <c r="C200">
        <v>1211</v>
      </c>
      <c r="D200">
        <v>600</v>
      </c>
      <c r="E200" t="s">
        <v>468</v>
      </c>
    </row>
    <row r="201" spans="1:5" x14ac:dyDescent="0.25">
      <c r="A201">
        <v>527</v>
      </c>
      <c r="B201" t="s">
        <v>214</v>
      </c>
      <c r="C201">
        <v>1590</v>
      </c>
      <c r="D201">
        <v>750</v>
      </c>
      <c r="E201" t="s">
        <v>468</v>
      </c>
    </row>
    <row r="202" spans="1:5" x14ac:dyDescent="0.25">
      <c r="A202">
        <v>528</v>
      </c>
      <c r="B202" t="s">
        <v>215</v>
      </c>
      <c r="C202">
        <v>1653</v>
      </c>
      <c r="D202">
        <v>750</v>
      </c>
      <c r="E202" t="s">
        <v>468</v>
      </c>
    </row>
    <row r="203" spans="1:5" x14ac:dyDescent="0.25">
      <c r="A203">
        <v>529</v>
      </c>
      <c r="B203" t="s">
        <v>216</v>
      </c>
      <c r="C203">
        <v>796</v>
      </c>
      <c r="D203">
        <v>375</v>
      </c>
      <c r="E203" t="s">
        <v>468</v>
      </c>
    </row>
    <row r="204" spans="1:5" x14ac:dyDescent="0.25">
      <c r="A204">
        <v>530</v>
      </c>
      <c r="B204" t="s">
        <v>217</v>
      </c>
      <c r="C204">
        <v>780</v>
      </c>
      <c r="D204">
        <v>375</v>
      </c>
      <c r="E204" t="s">
        <v>468</v>
      </c>
    </row>
    <row r="205" spans="1:5" x14ac:dyDescent="0.25">
      <c r="A205">
        <v>531</v>
      </c>
      <c r="B205" t="s">
        <v>218</v>
      </c>
      <c r="C205">
        <v>801</v>
      </c>
      <c r="D205">
        <v>375</v>
      </c>
      <c r="E205" t="s">
        <v>468</v>
      </c>
    </row>
    <row r="206" spans="1:5" x14ac:dyDescent="0.25">
      <c r="A206">
        <v>532</v>
      </c>
      <c r="B206" t="s">
        <v>219</v>
      </c>
      <c r="C206">
        <v>1257</v>
      </c>
      <c r="D206">
        <v>600</v>
      </c>
      <c r="E206" t="s">
        <v>468</v>
      </c>
    </row>
    <row r="207" spans="1:5" x14ac:dyDescent="0.25">
      <c r="A207">
        <v>533</v>
      </c>
      <c r="B207" t="s">
        <v>220</v>
      </c>
      <c r="C207">
        <v>831</v>
      </c>
      <c r="D207">
        <v>375</v>
      </c>
      <c r="E207" t="s">
        <v>468</v>
      </c>
    </row>
    <row r="208" spans="1:5" x14ac:dyDescent="0.25">
      <c r="A208">
        <v>534</v>
      </c>
      <c r="B208" t="s">
        <v>221</v>
      </c>
      <c r="C208">
        <v>657</v>
      </c>
      <c r="D208">
        <v>375</v>
      </c>
      <c r="E208" t="s">
        <v>468</v>
      </c>
    </row>
    <row r="209" spans="1:5" x14ac:dyDescent="0.25">
      <c r="A209">
        <v>535</v>
      </c>
      <c r="B209" t="s">
        <v>222</v>
      </c>
      <c r="C209">
        <v>836</v>
      </c>
      <c r="D209">
        <v>600</v>
      </c>
      <c r="E209" t="s">
        <v>468</v>
      </c>
    </row>
    <row r="210" spans="1:5" x14ac:dyDescent="0.25">
      <c r="A210">
        <v>679</v>
      </c>
      <c r="B210" t="s">
        <v>223</v>
      </c>
      <c r="C210">
        <v>421</v>
      </c>
      <c r="D210">
        <v>375</v>
      </c>
      <c r="E210" t="s">
        <v>468</v>
      </c>
    </row>
    <row r="211" spans="1:5" x14ac:dyDescent="0.25">
      <c r="A211">
        <v>707</v>
      </c>
      <c r="B211" t="s">
        <v>224</v>
      </c>
      <c r="C211">
        <v>288</v>
      </c>
      <c r="D211">
        <v>3</v>
      </c>
      <c r="E211" t="s">
        <v>468</v>
      </c>
    </row>
    <row r="212" spans="1:5" x14ac:dyDescent="0.25">
      <c r="A212">
        <v>708</v>
      </c>
      <c r="B212" t="s">
        <v>226</v>
      </c>
      <c r="C212">
        <v>324</v>
      </c>
      <c r="D212">
        <v>3</v>
      </c>
      <c r="E212" t="s">
        <v>468</v>
      </c>
    </row>
    <row r="213" spans="1:5" x14ac:dyDescent="0.25">
      <c r="A213">
        <v>709</v>
      </c>
      <c r="B213" t="s">
        <v>227</v>
      </c>
      <c r="C213">
        <v>180</v>
      </c>
      <c r="D213">
        <v>3</v>
      </c>
      <c r="E213" t="s">
        <v>468</v>
      </c>
    </row>
    <row r="214" spans="1:5" x14ac:dyDescent="0.25">
      <c r="A214">
        <v>710</v>
      </c>
      <c r="B214" t="s">
        <v>228</v>
      </c>
      <c r="C214">
        <v>216</v>
      </c>
      <c r="D214">
        <v>3</v>
      </c>
      <c r="E214" t="s">
        <v>468</v>
      </c>
    </row>
    <row r="215" spans="1:5" x14ac:dyDescent="0.25">
      <c r="A215">
        <v>711</v>
      </c>
      <c r="B215" t="s">
        <v>229</v>
      </c>
      <c r="C215">
        <v>216</v>
      </c>
      <c r="D215">
        <v>3</v>
      </c>
      <c r="E215" t="s">
        <v>468</v>
      </c>
    </row>
    <row r="216" spans="1:5" x14ac:dyDescent="0.25">
      <c r="A216">
        <v>712</v>
      </c>
      <c r="B216" t="s">
        <v>230</v>
      </c>
      <c r="C216">
        <v>288</v>
      </c>
      <c r="D216">
        <v>3</v>
      </c>
      <c r="E216" t="s">
        <v>468</v>
      </c>
    </row>
    <row r="217" spans="1:5" x14ac:dyDescent="0.25">
      <c r="A217">
        <v>713</v>
      </c>
      <c r="B217" t="s">
        <v>231</v>
      </c>
      <c r="C217">
        <v>144</v>
      </c>
      <c r="D217">
        <v>3</v>
      </c>
      <c r="E217" t="s">
        <v>468</v>
      </c>
    </row>
    <row r="218" spans="1:5" x14ac:dyDescent="0.25">
      <c r="A218">
        <v>714</v>
      </c>
      <c r="B218" t="s">
        <v>232</v>
      </c>
      <c r="C218">
        <v>180</v>
      </c>
      <c r="D218">
        <v>3</v>
      </c>
      <c r="E218" t="s">
        <v>468</v>
      </c>
    </row>
    <row r="219" spans="1:5" x14ac:dyDescent="0.25">
      <c r="A219">
        <v>715</v>
      </c>
      <c r="B219" t="s">
        <v>233</v>
      </c>
      <c r="C219">
        <v>216</v>
      </c>
      <c r="D219">
        <v>3</v>
      </c>
      <c r="E219" t="s">
        <v>468</v>
      </c>
    </row>
    <row r="220" spans="1:5" x14ac:dyDescent="0.25">
      <c r="A220">
        <v>716</v>
      </c>
      <c r="B220" t="s">
        <v>234</v>
      </c>
      <c r="C220">
        <v>252</v>
      </c>
      <c r="D220">
        <v>3</v>
      </c>
      <c r="E220" t="s">
        <v>468</v>
      </c>
    </row>
    <row r="221" spans="1:5" x14ac:dyDescent="0.25">
      <c r="A221">
        <v>747</v>
      </c>
      <c r="B221" t="s">
        <v>235</v>
      </c>
      <c r="C221">
        <v>834</v>
      </c>
      <c r="D221">
        <v>375</v>
      </c>
      <c r="E221" t="s">
        <v>468</v>
      </c>
    </row>
    <row r="222" spans="1:5" x14ac:dyDescent="0.25">
      <c r="A222">
        <v>748</v>
      </c>
      <c r="B222" t="s">
        <v>237</v>
      </c>
      <c r="C222">
        <v>738</v>
      </c>
      <c r="D222">
        <v>375</v>
      </c>
      <c r="E222" t="s">
        <v>468</v>
      </c>
    </row>
    <row r="223" spans="1:5" x14ac:dyDescent="0.25">
      <c r="A223">
        <v>749</v>
      </c>
      <c r="B223" t="s">
        <v>239</v>
      </c>
      <c r="C223">
        <v>133</v>
      </c>
      <c r="D223">
        <v>75</v>
      </c>
      <c r="E223" t="s">
        <v>468</v>
      </c>
    </row>
    <row r="224" spans="1:5" x14ac:dyDescent="0.25">
      <c r="A224">
        <v>750</v>
      </c>
      <c r="B224" t="s">
        <v>240</v>
      </c>
      <c r="C224">
        <v>223</v>
      </c>
      <c r="D224">
        <v>75</v>
      </c>
      <c r="E224" t="s">
        <v>468</v>
      </c>
    </row>
    <row r="225" spans="1:5" x14ac:dyDescent="0.25">
      <c r="A225">
        <v>751</v>
      </c>
      <c r="B225" t="s">
        <v>241</v>
      </c>
      <c r="C225">
        <v>140</v>
      </c>
      <c r="D225">
        <v>75</v>
      </c>
      <c r="E225" t="s">
        <v>468</v>
      </c>
    </row>
    <row r="226" spans="1:5" x14ac:dyDescent="0.25">
      <c r="A226">
        <v>752</v>
      </c>
      <c r="B226" t="s">
        <v>242</v>
      </c>
      <c r="C226">
        <v>128</v>
      </c>
      <c r="D226">
        <v>75</v>
      </c>
      <c r="E226" t="s">
        <v>468</v>
      </c>
    </row>
    <row r="227" spans="1:5" x14ac:dyDescent="0.25">
      <c r="A227">
        <v>753</v>
      </c>
      <c r="B227" t="s">
        <v>243</v>
      </c>
      <c r="C227">
        <v>163</v>
      </c>
      <c r="D227">
        <v>75</v>
      </c>
      <c r="E227" t="s">
        <v>468</v>
      </c>
    </row>
    <row r="228" spans="1:5" x14ac:dyDescent="0.25">
      <c r="A228">
        <v>754</v>
      </c>
      <c r="B228" t="s">
        <v>244</v>
      </c>
      <c r="C228">
        <v>148</v>
      </c>
      <c r="D228">
        <v>75</v>
      </c>
      <c r="E228" t="s">
        <v>468</v>
      </c>
    </row>
    <row r="229" spans="1:5" x14ac:dyDescent="0.25">
      <c r="A229">
        <v>755</v>
      </c>
      <c r="B229" t="s">
        <v>245</v>
      </c>
      <c r="C229">
        <v>137</v>
      </c>
      <c r="D229">
        <v>75</v>
      </c>
      <c r="E229" t="s">
        <v>468</v>
      </c>
    </row>
    <row r="230" spans="1:5" x14ac:dyDescent="0.25">
      <c r="A230">
        <v>756</v>
      </c>
      <c r="B230" t="s">
        <v>246</v>
      </c>
      <c r="C230">
        <v>129</v>
      </c>
      <c r="D230">
        <v>75</v>
      </c>
      <c r="E230" t="s">
        <v>468</v>
      </c>
    </row>
    <row r="231" spans="1:5" x14ac:dyDescent="0.25">
      <c r="A231">
        <v>757</v>
      </c>
      <c r="B231" t="s">
        <v>247</v>
      </c>
      <c r="C231">
        <v>134</v>
      </c>
      <c r="D231">
        <v>75</v>
      </c>
      <c r="E231" t="s">
        <v>468</v>
      </c>
    </row>
    <row r="232" spans="1:5" x14ac:dyDescent="0.25">
      <c r="A232">
        <v>758</v>
      </c>
      <c r="B232" t="s">
        <v>248</v>
      </c>
      <c r="C232">
        <v>165</v>
      </c>
      <c r="D232">
        <v>75</v>
      </c>
      <c r="E232" t="s">
        <v>468</v>
      </c>
    </row>
    <row r="233" spans="1:5" x14ac:dyDescent="0.25">
      <c r="A233">
        <v>759</v>
      </c>
      <c r="B233" t="s">
        <v>249</v>
      </c>
      <c r="C233">
        <v>163</v>
      </c>
      <c r="D233">
        <v>75</v>
      </c>
      <c r="E233" t="s">
        <v>468</v>
      </c>
    </row>
    <row r="234" spans="1:5" x14ac:dyDescent="0.25">
      <c r="A234">
        <v>760</v>
      </c>
      <c r="B234" t="s">
        <v>250</v>
      </c>
      <c r="C234">
        <v>185</v>
      </c>
      <c r="D234">
        <v>75</v>
      </c>
      <c r="E234" t="s">
        <v>468</v>
      </c>
    </row>
    <row r="235" spans="1:5" x14ac:dyDescent="0.25">
      <c r="A235">
        <v>761</v>
      </c>
      <c r="B235" t="s">
        <v>251</v>
      </c>
      <c r="C235">
        <v>148</v>
      </c>
      <c r="D235">
        <v>75</v>
      </c>
      <c r="E235" t="s">
        <v>468</v>
      </c>
    </row>
    <row r="236" spans="1:5" x14ac:dyDescent="0.25">
      <c r="A236">
        <v>762</v>
      </c>
      <c r="B236" t="s">
        <v>252</v>
      </c>
      <c r="C236">
        <v>137</v>
      </c>
      <c r="D236">
        <v>75</v>
      </c>
      <c r="E236" t="s">
        <v>468</v>
      </c>
    </row>
    <row r="237" spans="1:5" x14ac:dyDescent="0.25">
      <c r="A237">
        <v>763</v>
      </c>
      <c r="B237" t="s">
        <v>253</v>
      </c>
      <c r="C237">
        <v>223</v>
      </c>
      <c r="D237">
        <v>75</v>
      </c>
      <c r="E237" t="s">
        <v>468</v>
      </c>
    </row>
    <row r="238" spans="1:5" x14ac:dyDescent="0.25">
      <c r="A238">
        <v>764</v>
      </c>
      <c r="B238" t="s">
        <v>254</v>
      </c>
      <c r="C238">
        <v>140</v>
      </c>
      <c r="D238">
        <v>75</v>
      </c>
      <c r="E238" t="s">
        <v>468</v>
      </c>
    </row>
    <row r="239" spans="1:5" x14ac:dyDescent="0.25">
      <c r="A239">
        <v>765</v>
      </c>
      <c r="B239" t="s">
        <v>255</v>
      </c>
      <c r="C239">
        <v>134</v>
      </c>
      <c r="D239">
        <v>75</v>
      </c>
      <c r="E239" t="s">
        <v>468</v>
      </c>
    </row>
    <row r="240" spans="1:5" x14ac:dyDescent="0.25">
      <c r="A240">
        <v>766</v>
      </c>
      <c r="B240" t="s">
        <v>256</v>
      </c>
      <c r="C240">
        <v>165</v>
      </c>
      <c r="D240">
        <v>75</v>
      </c>
      <c r="E240" t="s">
        <v>468</v>
      </c>
    </row>
    <row r="241" spans="1:5" x14ac:dyDescent="0.25">
      <c r="A241">
        <v>767</v>
      </c>
      <c r="B241" t="s">
        <v>257</v>
      </c>
      <c r="C241">
        <v>188</v>
      </c>
      <c r="D241">
        <v>75</v>
      </c>
      <c r="E241" t="s">
        <v>468</v>
      </c>
    </row>
    <row r="242" spans="1:5" x14ac:dyDescent="0.25">
      <c r="A242">
        <v>768</v>
      </c>
      <c r="B242" t="s">
        <v>258</v>
      </c>
      <c r="C242">
        <v>148</v>
      </c>
      <c r="D242">
        <v>75</v>
      </c>
      <c r="E242" t="s">
        <v>468</v>
      </c>
    </row>
    <row r="243" spans="1:5" x14ac:dyDescent="0.25">
      <c r="A243">
        <v>769</v>
      </c>
      <c r="B243" t="s">
        <v>259</v>
      </c>
      <c r="C243">
        <v>133</v>
      </c>
      <c r="D243">
        <v>75</v>
      </c>
      <c r="E243" t="s">
        <v>468</v>
      </c>
    </row>
    <row r="244" spans="1:5" x14ac:dyDescent="0.25">
      <c r="A244">
        <v>770</v>
      </c>
      <c r="B244" t="s">
        <v>260</v>
      </c>
      <c r="C244">
        <v>227</v>
      </c>
      <c r="D244">
        <v>75</v>
      </c>
      <c r="E244" t="s">
        <v>468</v>
      </c>
    </row>
    <row r="245" spans="1:5" x14ac:dyDescent="0.25">
      <c r="A245">
        <v>771</v>
      </c>
      <c r="B245" t="s">
        <v>261</v>
      </c>
      <c r="C245">
        <v>149</v>
      </c>
      <c r="D245">
        <v>75</v>
      </c>
      <c r="E245" t="s">
        <v>468</v>
      </c>
    </row>
    <row r="246" spans="1:5" x14ac:dyDescent="0.25">
      <c r="A246">
        <v>772</v>
      </c>
      <c r="B246" t="s">
        <v>262</v>
      </c>
      <c r="C246">
        <v>153</v>
      </c>
      <c r="D246">
        <v>75</v>
      </c>
      <c r="E246" t="s">
        <v>468</v>
      </c>
    </row>
    <row r="247" spans="1:5" x14ac:dyDescent="0.25">
      <c r="A247">
        <v>773</v>
      </c>
      <c r="B247" t="s">
        <v>263</v>
      </c>
      <c r="C247">
        <v>158</v>
      </c>
      <c r="D247">
        <v>75</v>
      </c>
      <c r="E247" t="s">
        <v>468</v>
      </c>
    </row>
    <row r="248" spans="1:5" x14ac:dyDescent="0.25">
      <c r="A248">
        <v>774</v>
      </c>
      <c r="B248" t="s">
        <v>264</v>
      </c>
      <c r="C248">
        <v>164</v>
      </c>
      <c r="D248">
        <v>75</v>
      </c>
      <c r="E248" t="s">
        <v>468</v>
      </c>
    </row>
    <row r="249" spans="1:5" x14ac:dyDescent="0.25">
      <c r="A249">
        <v>775</v>
      </c>
      <c r="B249" t="s">
        <v>265</v>
      </c>
      <c r="C249">
        <v>155</v>
      </c>
      <c r="D249">
        <v>75</v>
      </c>
      <c r="E249" t="s">
        <v>468</v>
      </c>
    </row>
    <row r="250" spans="1:5" x14ac:dyDescent="0.25">
      <c r="A250">
        <v>776</v>
      </c>
      <c r="B250" t="s">
        <v>266</v>
      </c>
      <c r="C250">
        <v>194</v>
      </c>
      <c r="D250">
        <v>75</v>
      </c>
      <c r="E250" t="s">
        <v>468</v>
      </c>
    </row>
    <row r="251" spans="1:5" x14ac:dyDescent="0.25">
      <c r="A251">
        <v>777</v>
      </c>
      <c r="B251" t="s">
        <v>267</v>
      </c>
      <c r="C251">
        <v>149</v>
      </c>
      <c r="D251">
        <v>75</v>
      </c>
      <c r="E251" t="s">
        <v>468</v>
      </c>
    </row>
    <row r="252" spans="1:5" x14ac:dyDescent="0.25">
      <c r="A252">
        <v>778</v>
      </c>
      <c r="B252" t="s">
        <v>268</v>
      </c>
      <c r="C252">
        <v>153</v>
      </c>
      <c r="D252">
        <v>75</v>
      </c>
      <c r="E252" t="s">
        <v>468</v>
      </c>
    </row>
    <row r="253" spans="1:5" x14ac:dyDescent="0.25">
      <c r="A253">
        <v>779</v>
      </c>
      <c r="B253" t="s">
        <v>269</v>
      </c>
      <c r="C253">
        <v>137</v>
      </c>
      <c r="D253">
        <v>75</v>
      </c>
      <c r="E253" t="s">
        <v>468</v>
      </c>
    </row>
    <row r="254" spans="1:5" x14ac:dyDescent="0.25">
      <c r="A254">
        <v>780</v>
      </c>
      <c r="B254" t="s">
        <v>270</v>
      </c>
      <c r="C254">
        <v>223</v>
      </c>
      <c r="D254">
        <v>75</v>
      </c>
      <c r="E254" t="s">
        <v>468</v>
      </c>
    </row>
    <row r="255" spans="1:5" x14ac:dyDescent="0.25">
      <c r="A255">
        <v>781</v>
      </c>
      <c r="B255" t="s">
        <v>271</v>
      </c>
      <c r="C255">
        <v>140</v>
      </c>
      <c r="D255">
        <v>75</v>
      </c>
      <c r="E255" t="s">
        <v>468</v>
      </c>
    </row>
    <row r="256" spans="1:5" x14ac:dyDescent="0.25">
      <c r="A256">
        <v>782</v>
      </c>
      <c r="B256" t="s">
        <v>272</v>
      </c>
      <c r="C256">
        <v>188</v>
      </c>
      <c r="D256">
        <v>75</v>
      </c>
      <c r="E256" t="s">
        <v>468</v>
      </c>
    </row>
    <row r="257" spans="1:5" x14ac:dyDescent="0.25">
      <c r="A257">
        <v>783</v>
      </c>
      <c r="B257" t="s">
        <v>273</v>
      </c>
      <c r="C257">
        <v>148</v>
      </c>
      <c r="D257">
        <v>75</v>
      </c>
      <c r="E257" t="s">
        <v>468</v>
      </c>
    </row>
    <row r="258" spans="1:5" x14ac:dyDescent="0.25">
      <c r="A258">
        <v>784</v>
      </c>
      <c r="B258" t="s">
        <v>274</v>
      </c>
      <c r="C258">
        <v>137</v>
      </c>
      <c r="D258">
        <v>75</v>
      </c>
      <c r="E258" t="s">
        <v>468</v>
      </c>
    </row>
    <row r="259" spans="1:5" x14ac:dyDescent="0.25">
      <c r="A259">
        <v>785</v>
      </c>
      <c r="B259" t="s">
        <v>275</v>
      </c>
      <c r="C259">
        <v>137</v>
      </c>
      <c r="D259">
        <v>75</v>
      </c>
      <c r="E259" t="s">
        <v>468</v>
      </c>
    </row>
    <row r="260" spans="1:5" x14ac:dyDescent="0.25">
      <c r="A260">
        <v>786</v>
      </c>
      <c r="B260" t="s">
        <v>276</v>
      </c>
      <c r="C260">
        <v>223</v>
      </c>
      <c r="D260">
        <v>75</v>
      </c>
      <c r="E260" t="s">
        <v>468</v>
      </c>
    </row>
    <row r="261" spans="1:5" x14ac:dyDescent="0.25">
      <c r="A261">
        <v>787</v>
      </c>
      <c r="B261" t="s">
        <v>277</v>
      </c>
      <c r="C261">
        <v>140</v>
      </c>
      <c r="D261">
        <v>75</v>
      </c>
      <c r="E261" t="s">
        <v>468</v>
      </c>
    </row>
    <row r="262" spans="1:5" x14ac:dyDescent="0.25">
      <c r="A262">
        <v>788</v>
      </c>
      <c r="B262" t="s">
        <v>278</v>
      </c>
      <c r="C262">
        <v>128</v>
      </c>
      <c r="D262">
        <v>75</v>
      </c>
      <c r="E262" t="s">
        <v>468</v>
      </c>
    </row>
    <row r="263" spans="1:5" x14ac:dyDescent="0.25">
      <c r="A263">
        <v>789</v>
      </c>
      <c r="B263" t="s">
        <v>279</v>
      </c>
      <c r="C263">
        <v>163</v>
      </c>
      <c r="D263">
        <v>75</v>
      </c>
      <c r="E263" t="s">
        <v>468</v>
      </c>
    </row>
    <row r="264" spans="1:5" x14ac:dyDescent="0.25">
      <c r="A264">
        <v>790</v>
      </c>
      <c r="B264" t="s">
        <v>280</v>
      </c>
      <c r="C264">
        <v>185</v>
      </c>
      <c r="D264">
        <v>75</v>
      </c>
      <c r="E264" t="s">
        <v>468</v>
      </c>
    </row>
    <row r="265" spans="1:5" x14ac:dyDescent="0.25">
      <c r="A265">
        <v>791</v>
      </c>
      <c r="B265" t="s">
        <v>281</v>
      </c>
      <c r="C265">
        <v>148</v>
      </c>
      <c r="D265">
        <v>75</v>
      </c>
      <c r="E265" t="s">
        <v>468</v>
      </c>
    </row>
    <row r="266" spans="1:5" x14ac:dyDescent="0.25">
      <c r="A266">
        <v>792</v>
      </c>
      <c r="B266" t="s">
        <v>282</v>
      </c>
      <c r="C266">
        <v>227</v>
      </c>
      <c r="D266">
        <v>75</v>
      </c>
      <c r="E266" t="s">
        <v>468</v>
      </c>
    </row>
    <row r="267" spans="1:5" x14ac:dyDescent="0.25">
      <c r="A267">
        <v>793</v>
      </c>
      <c r="B267" t="s">
        <v>283</v>
      </c>
      <c r="C267">
        <v>134</v>
      </c>
      <c r="D267">
        <v>75</v>
      </c>
      <c r="E267" t="s">
        <v>468</v>
      </c>
    </row>
    <row r="268" spans="1:5" x14ac:dyDescent="0.25">
      <c r="A268">
        <v>794</v>
      </c>
      <c r="B268" t="s">
        <v>284</v>
      </c>
      <c r="C268">
        <v>165</v>
      </c>
      <c r="D268">
        <v>75</v>
      </c>
      <c r="E268" t="s">
        <v>468</v>
      </c>
    </row>
    <row r="269" spans="1:5" x14ac:dyDescent="0.25">
      <c r="A269">
        <v>795</v>
      </c>
      <c r="B269" t="s">
        <v>285</v>
      </c>
      <c r="C269">
        <v>188</v>
      </c>
      <c r="D269">
        <v>75</v>
      </c>
      <c r="E269" t="s">
        <v>468</v>
      </c>
    </row>
    <row r="270" spans="1:5" x14ac:dyDescent="0.25">
      <c r="A270">
        <v>796</v>
      </c>
      <c r="B270" t="s">
        <v>286</v>
      </c>
      <c r="C270">
        <v>148</v>
      </c>
      <c r="D270">
        <v>75</v>
      </c>
      <c r="E270" t="s">
        <v>468</v>
      </c>
    </row>
    <row r="271" spans="1:5" x14ac:dyDescent="0.25">
      <c r="A271">
        <v>797</v>
      </c>
      <c r="B271" t="s">
        <v>287</v>
      </c>
      <c r="C271">
        <v>148</v>
      </c>
      <c r="D271">
        <v>75</v>
      </c>
      <c r="E271" t="s">
        <v>468</v>
      </c>
    </row>
    <row r="272" spans="1:5" x14ac:dyDescent="0.25">
      <c r="A272">
        <v>798</v>
      </c>
      <c r="B272" t="s">
        <v>288</v>
      </c>
      <c r="C272">
        <v>133</v>
      </c>
      <c r="D272">
        <v>75</v>
      </c>
      <c r="E272" t="s">
        <v>468</v>
      </c>
    </row>
    <row r="273" spans="1:5" x14ac:dyDescent="0.25">
      <c r="A273">
        <v>799</v>
      </c>
      <c r="B273" t="s">
        <v>289</v>
      </c>
      <c r="C273">
        <v>227</v>
      </c>
      <c r="D273">
        <v>75</v>
      </c>
      <c r="E273" t="s">
        <v>468</v>
      </c>
    </row>
    <row r="274" spans="1:5" x14ac:dyDescent="0.25">
      <c r="A274">
        <v>800</v>
      </c>
      <c r="B274" t="s">
        <v>290</v>
      </c>
      <c r="C274">
        <v>129</v>
      </c>
      <c r="D274">
        <v>75</v>
      </c>
      <c r="E274" t="s">
        <v>468</v>
      </c>
    </row>
    <row r="275" spans="1:5" x14ac:dyDescent="0.25">
      <c r="A275">
        <v>801</v>
      </c>
      <c r="B275" t="s">
        <v>291</v>
      </c>
      <c r="C275">
        <v>134</v>
      </c>
      <c r="D275">
        <v>75</v>
      </c>
      <c r="E275" t="s">
        <v>468</v>
      </c>
    </row>
    <row r="276" spans="1:5" x14ac:dyDescent="0.25">
      <c r="A276">
        <v>802</v>
      </c>
      <c r="B276" t="s">
        <v>292</v>
      </c>
      <c r="C276">
        <v>863</v>
      </c>
      <c r="D276">
        <v>375</v>
      </c>
      <c r="E276" t="s">
        <v>468</v>
      </c>
    </row>
    <row r="277" spans="1:5" x14ac:dyDescent="0.25">
      <c r="A277">
        <v>803</v>
      </c>
      <c r="B277" t="s">
        <v>293</v>
      </c>
      <c r="C277">
        <v>882</v>
      </c>
      <c r="D277">
        <v>375</v>
      </c>
      <c r="E277" t="s">
        <v>468</v>
      </c>
    </row>
    <row r="278" spans="1:5" x14ac:dyDescent="0.25">
      <c r="A278">
        <v>804</v>
      </c>
      <c r="B278" t="s">
        <v>294</v>
      </c>
      <c r="C278">
        <v>901</v>
      </c>
      <c r="D278">
        <v>375</v>
      </c>
      <c r="E278" t="s">
        <v>468</v>
      </c>
    </row>
    <row r="279" spans="1:5" x14ac:dyDescent="0.25">
      <c r="A279">
        <v>805</v>
      </c>
      <c r="B279" t="s">
        <v>295</v>
      </c>
      <c r="C279">
        <v>761</v>
      </c>
      <c r="D279">
        <v>375</v>
      </c>
      <c r="E279" t="s">
        <v>468</v>
      </c>
    </row>
    <row r="280" spans="1:5" x14ac:dyDescent="0.25">
      <c r="A280">
        <v>806</v>
      </c>
      <c r="B280" t="s">
        <v>296</v>
      </c>
      <c r="C280">
        <v>772</v>
      </c>
      <c r="D280">
        <v>375</v>
      </c>
      <c r="E280" t="s">
        <v>468</v>
      </c>
    </row>
    <row r="281" spans="1:5" x14ac:dyDescent="0.25">
      <c r="A281">
        <v>807</v>
      </c>
      <c r="B281" t="s">
        <v>297</v>
      </c>
      <c r="C281">
        <v>782</v>
      </c>
      <c r="D281">
        <v>375</v>
      </c>
      <c r="E281" t="s">
        <v>468</v>
      </c>
    </row>
    <row r="282" spans="1:5" x14ac:dyDescent="0.25">
      <c r="A282">
        <v>808</v>
      </c>
      <c r="B282" t="s">
        <v>298</v>
      </c>
      <c r="C282">
        <v>859</v>
      </c>
      <c r="D282">
        <v>375</v>
      </c>
      <c r="E282" t="s">
        <v>468</v>
      </c>
    </row>
    <row r="283" spans="1:5" x14ac:dyDescent="0.25">
      <c r="A283">
        <v>809</v>
      </c>
      <c r="B283" t="s">
        <v>299</v>
      </c>
      <c r="C283">
        <v>850</v>
      </c>
      <c r="D283">
        <v>375</v>
      </c>
      <c r="E283" t="s">
        <v>468</v>
      </c>
    </row>
    <row r="284" spans="1:5" x14ac:dyDescent="0.25">
      <c r="A284">
        <v>810</v>
      </c>
      <c r="B284" t="s">
        <v>300</v>
      </c>
      <c r="C284">
        <v>840</v>
      </c>
      <c r="D284">
        <v>375</v>
      </c>
      <c r="E284" t="s">
        <v>468</v>
      </c>
    </row>
    <row r="285" spans="1:5" x14ac:dyDescent="0.25">
      <c r="A285">
        <v>811</v>
      </c>
      <c r="B285" t="s">
        <v>301</v>
      </c>
      <c r="C285">
        <v>831</v>
      </c>
      <c r="D285">
        <v>375</v>
      </c>
      <c r="E285" t="s">
        <v>468</v>
      </c>
    </row>
    <row r="286" spans="1:5" x14ac:dyDescent="0.25">
      <c r="A286">
        <v>812</v>
      </c>
      <c r="B286" t="s">
        <v>302</v>
      </c>
      <c r="C286">
        <v>822</v>
      </c>
      <c r="D286">
        <v>375</v>
      </c>
      <c r="E286" t="s">
        <v>468</v>
      </c>
    </row>
    <row r="287" spans="1:5" x14ac:dyDescent="0.25">
      <c r="A287">
        <v>813</v>
      </c>
      <c r="B287" t="s">
        <v>303</v>
      </c>
      <c r="C287">
        <v>811</v>
      </c>
      <c r="D287">
        <v>375</v>
      </c>
      <c r="E287" t="s">
        <v>468</v>
      </c>
    </row>
    <row r="288" spans="1:5" x14ac:dyDescent="0.25">
      <c r="A288">
        <v>814</v>
      </c>
      <c r="B288" t="s">
        <v>304</v>
      </c>
      <c r="C288">
        <v>767</v>
      </c>
      <c r="D288">
        <v>375</v>
      </c>
      <c r="E288" t="s">
        <v>468</v>
      </c>
    </row>
    <row r="289" spans="1:5" x14ac:dyDescent="0.25">
      <c r="A289">
        <v>815</v>
      </c>
      <c r="B289" t="s">
        <v>305</v>
      </c>
      <c r="C289">
        <v>722</v>
      </c>
      <c r="D289">
        <v>375</v>
      </c>
      <c r="E289" t="s">
        <v>468</v>
      </c>
    </row>
    <row r="290" spans="1:5" x14ac:dyDescent="0.25">
      <c r="A290">
        <v>816</v>
      </c>
      <c r="B290" t="s">
        <v>306</v>
      </c>
      <c r="C290">
        <v>818</v>
      </c>
      <c r="D290">
        <v>375</v>
      </c>
      <c r="E290" t="s">
        <v>468</v>
      </c>
    </row>
    <row r="291" spans="1:5" x14ac:dyDescent="0.25">
      <c r="A291">
        <v>817</v>
      </c>
      <c r="B291" t="s">
        <v>307</v>
      </c>
      <c r="C291">
        <v>831</v>
      </c>
      <c r="D291">
        <v>375</v>
      </c>
      <c r="E291" t="s">
        <v>468</v>
      </c>
    </row>
    <row r="292" spans="1:5" x14ac:dyDescent="0.25">
      <c r="A292">
        <v>818</v>
      </c>
      <c r="B292" t="s">
        <v>308</v>
      </c>
      <c r="C292">
        <v>888</v>
      </c>
      <c r="D292">
        <v>375</v>
      </c>
      <c r="E292" t="s">
        <v>468</v>
      </c>
    </row>
    <row r="293" spans="1:5" x14ac:dyDescent="0.25">
      <c r="A293">
        <v>819</v>
      </c>
      <c r="B293" t="s">
        <v>309</v>
      </c>
      <c r="C293">
        <v>793</v>
      </c>
      <c r="D293">
        <v>375</v>
      </c>
      <c r="E293" t="s">
        <v>468</v>
      </c>
    </row>
    <row r="294" spans="1:5" x14ac:dyDescent="0.25">
      <c r="A294">
        <v>820</v>
      </c>
      <c r="B294" t="s">
        <v>310</v>
      </c>
      <c r="C294">
        <v>678</v>
      </c>
      <c r="D294">
        <v>375</v>
      </c>
      <c r="E294" t="s">
        <v>468</v>
      </c>
    </row>
    <row r="295" spans="1:5" x14ac:dyDescent="0.25">
      <c r="A295">
        <v>821</v>
      </c>
      <c r="B295" t="s">
        <v>311</v>
      </c>
      <c r="C295">
        <v>736</v>
      </c>
      <c r="D295">
        <v>375</v>
      </c>
      <c r="E295" t="s">
        <v>468</v>
      </c>
    </row>
    <row r="296" spans="1:5" x14ac:dyDescent="0.25">
      <c r="A296">
        <v>822</v>
      </c>
      <c r="B296" t="s">
        <v>312</v>
      </c>
      <c r="C296">
        <v>796</v>
      </c>
      <c r="D296">
        <v>375</v>
      </c>
      <c r="E296" t="s">
        <v>468</v>
      </c>
    </row>
    <row r="297" spans="1:5" x14ac:dyDescent="0.25">
      <c r="A297">
        <v>823</v>
      </c>
      <c r="B297" t="s">
        <v>313</v>
      </c>
      <c r="C297">
        <v>681</v>
      </c>
      <c r="D297">
        <v>375</v>
      </c>
      <c r="E297" t="s">
        <v>468</v>
      </c>
    </row>
    <row r="298" spans="1:5" x14ac:dyDescent="0.25">
      <c r="A298">
        <v>824</v>
      </c>
      <c r="B298" t="s">
        <v>314</v>
      </c>
      <c r="C298">
        <v>812</v>
      </c>
      <c r="D298">
        <v>375</v>
      </c>
      <c r="E298" t="s">
        <v>468</v>
      </c>
    </row>
    <row r="299" spans="1:5" x14ac:dyDescent="0.25">
      <c r="A299">
        <v>825</v>
      </c>
      <c r="B299" t="s">
        <v>315</v>
      </c>
      <c r="C299">
        <v>783</v>
      </c>
      <c r="D299">
        <v>375</v>
      </c>
      <c r="E299" t="s">
        <v>468</v>
      </c>
    </row>
    <row r="300" spans="1:5" x14ac:dyDescent="0.25">
      <c r="A300">
        <v>826</v>
      </c>
      <c r="B300" t="s">
        <v>316</v>
      </c>
      <c r="C300">
        <v>799</v>
      </c>
      <c r="D300">
        <v>375</v>
      </c>
      <c r="E300" t="s">
        <v>468</v>
      </c>
    </row>
    <row r="301" spans="1:5" x14ac:dyDescent="0.25">
      <c r="A301">
        <v>827</v>
      </c>
      <c r="B301" t="s">
        <v>317</v>
      </c>
      <c r="C301">
        <v>837</v>
      </c>
      <c r="D301">
        <v>375</v>
      </c>
      <c r="E301" t="s">
        <v>468</v>
      </c>
    </row>
    <row r="302" spans="1:5" x14ac:dyDescent="0.25">
      <c r="A302">
        <v>828</v>
      </c>
      <c r="B302" t="s">
        <v>318</v>
      </c>
      <c r="C302">
        <v>716</v>
      </c>
      <c r="D302">
        <v>375</v>
      </c>
      <c r="E302" t="s">
        <v>468</v>
      </c>
    </row>
    <row r="303" spans="1:5" x14ac:dyDescent="0.25">
      <c r="A303">
        <v>829</v>
      </c>
      <c r="B303" t="s">
        <v>319</v>
      </c>
      <c r="C303">
        <v>741</v>
      </c>
      <c r="D303">
        <v>375</v>
      </c>
      <c r="E303" t="s">
        <v>468</v>
      </c>
    </row>
    <row r="304" spans="1:5" x14ac:dyDescent="0.25">
      <c r="A304">
        <v>841</v>
      </c>
      <c r="B304" t="s">
        <v>320</v>
      </c>
      <c r="C304">
        <v>288</v>
      </c>
      <c r="D304">
        <v>3</v>
      </c>
      <c r="E304" t="s">
        <v>468</v>
      </c>
    </row>
    <row r="305" spans="1:5" x14ac:dyDescent="0.25">
      <c r="A305">
        <v>842</v>
      </c>
      <c r="B305" t="s">
        <v>321</v>
      </c>
      <c r="C305">
        <v>72</v>
      </c>
      <c r="D305">
        <v>3</v>
      </c>
      <c r="E305" t="s">
        <v>468</v>
      </c>
    </row>
    <row r="306" spans="1:5" x14ac:dyDescent="0.25">
      <c r="A306">
        <v>843</v>
      </c>
      <c r="B306" t="s">
        <v>322</v>
      </c>
      <c r="C306">
        <v>252</v>
      </c>
      <c r="D306">
        <v>3</v>
      </c>
      <c r="E306" t="s">
        <v>468</v>
      </c>
    </row>
    <row r="307" spans="1:5" x14ac:dyDescent="0.25">
      <c r="A307">
        <v>844</v>
      </c>
      <c r="B307" t="s">
        <v>323</v>
      </c>
      <c r="C307">
        <v>288</v>
      </c>
      <c r="D307">
        <v>3</v>
      </c>
      <c r="E307" t="s">
        <v>468</v>
      </c>
    </row>
    <row r="308" spans="1:5" x14ac:dyDescent="0.25">
      <c r="A308">
        <v>845</v>
      </c>
      <c r="B308" t="s">
        <v>324</v>
      </c>
      <c r="C308">
        <v>324</v>
      </c>
      <c r="D308">
        <v>3</v>
      </c>
      <c r="E308" t="s">
        <v>468</v>
      </c>
    </row>
    <row r="309" spans="1:5" x14ac:dyDescent="0.25">
      <c r="A309">
        <v>846</v>
      </c>
      <c r="B309" t="s">
        <v>325</v>
      </c>
      <c r="C309">
        <v>144</v>
      </c>
      <c r="D309">
        <v>3</v>
      </c>
      <c r="E309" t="s">
        <v>468</v>
      </c>
    </row>
    <row r="310" spans="1:5" x14ac:dyDescent="0.25">
      <c r="A310">
        <v>847</v>
      </c>
      <c r="B310" t="s">
        <v>326</v>
      </c>
      <c r="C310">
        <v>180</v>
      </c>
      <c r="D310">
        <v>3</v>
      </c>
      <c r="E310" t="s">
        <v>468</v>
      </c>
    </row>
    <row r="311" spans="1:5" x14ac:dyDescent="0.25">
      <c r="A311">
        <v>848</v>
      </c>
      <c r="B311" t="s">
        <v>327</v>
      </c>
      <c r="C311">
        <v>216</v>
      </c>
      <c r="D311">
        <v>3</v>
      </c>
      <c r="E311" t="s">
        <v>468</v>
      </c>
    </row>
    <row r="312" spans="1:5" x14ac:dyDescent="0.25">
      <c r="A312">
        <v>849</v>
      </c>
      <c r="B312" t="s">
        <v>328</v>
      </c>
      <c r="C312">
        <v>108</v>
      </c>
      <c r="D312">
        <v>3</v>
      </c>
      <c r="E312" t="s">
        <v>468</v>
      </c>
    </row>
    <row r="313" spans="1:5" x14ac:dyDescent="0.25">
      <c r="A313">
        <v>850</v>
      </c>
      <c r="B313" t="s">
        <v>329</v>
      </c>
      <c r="C313">
        <v>144</v>
      </c>
      <c r="D313">
        <v>3</v>
      </c>
      <c r="E313" t="s">
        <v>468</v>
      </c>
    </row>
    <row r="314" spans="1:5" x14ac:dyDescent="0.25">
      <c r="A314">
        <v>851</v>
      </c>
      <c r="B314" t="s">
        <v>330</v>
      </c>
      <c r="C314">
        <v>180</v>
      </c>
      <c r="D314">
        <v>3</v>
      </c>
      <c r="E314" t="s">
        <v>468</v>
      </c>
    </row>
    <row r="315" spans="1:5" x14ac:dyDescent="0.25">
      <c r="A315">
        <v>852</v>
      </c>
      <c r="B315" t="s">
        <v>331</v>
      </c>
      <c r="C315">
        <v>324</v>
      </c>
      <c r="D315">
        <v>3</v>
      </c>
      <c r="E315" t="s">
        <v>468</v>
      </c>
    </row>
    <row r="316" spans="1:5" x14ac:dyDescent="0.25">
      <c r="A316">
        <v>853</v>
      </c>
      <c r="B316" t="s">
        <v>332</v>
      </c>
      <c r="C316">
        <v>0</v>
      </c>
      <c r="D316">
        <v>3</v>
      </c>
      <c r="E316" t="s">
        <v>469</v>
      </c>
    </row>
    <row r="317" spans="1:5" x14ac:dyDescent="0.25">
      <c r="A317">
        <v>854</v>
      </c>
      <c r="B317" t="s">
        <v>333</v>
      </c>
      <c r="C317">
        <v>36</v>
      </c>
      <c r="D317">
        <v>3</v>
      </c>
      <c r="E317" t="s">
        <v>468</v>
      </c>
    </row>
    <row r="318" spans="1:5" x14ac:dyDescent="0.25">
      <c r="A318">
        <v>855</v>
      </c>
      <c r="B318" t="s">
        <v>334</v>
      </c>
      <c r="C318">
        <v>72</v>
      </c>
      <c r="D318">
        <v>3</v>
      </c>
      <c r="E318" t="s">
        <v>468</v>
      </c>
    </row>
    <row r="319" spans="1:5" x14ac:dyDescent="0.25">
      <c r="A319">
        <v>856</v>
      </c>
      <c r="B319" t="s">
        <v>335</v>
      </c>
      <c r="C319">
        <v>108</v>
      </c>
      <c r="D319">
        <v>3</v>
      </c>
      <c r="E319" t="s">
        <v>468</v>
      </c>
    </row>
    <row r="320" spans="1:5" x14ac:dyDescent="0.25">
      <c r="A320">
        <v>857</v>
      </c>
      <c r="B320" t="s">
        <v>336</v>
      </c>
      <c r="C320">
        <v>144</v>
      </c>
      <c r="D320">
        <v>3</v>
      </c>
      <c r="E320" t="s">
        <v>468</v>
      </c>
    </row>
    <row r="321" spans="1:5" x14ac:dyDescent="0.25">
      <c r="A321">
        <v>858</v>
      </c>
      <c r="B321" t="s">
        <v>337</v>
      </c>
      <c r="C321">
        <v>324</v>
      </c>
      <c r="D321">
        <v>3</v>
      </c>
      <c r="E321" t="s">
        <v>468</v>
      </c>
    </row>
    <row r="322" spans="1:5" x14ac:dyDescent="0.25">
      <c r="A322">
        <v>859</v>
      </c>
      <c r="B322" t="s">
        <v>338</v>
      </c>
      <c r="C322">
        <v>0</v>
      </c>
      <c r="D322">
        <v>3</v>
      </c>
      <c r="E322" t="s">
        <v>469</v>
      </c>
    </row>
    <row r="323" spans="1:5" x14ac:dyDescent="0.25">
      <c r="A323">
        <v>860</v>
      </c>
      <c r="B323" t="s">
        <v>339</v>
      </c>
      <c r="C323">
        <v>36</v>
      </c>
      <c r="D323">
        <v>3</v>
      </c>
      <c r="E323" t="s">
        <v>468</v>
      </c>
    </row>
    <row r="324" spans="1:5" x14ac:dyDescent="0.25">
      <c r="A324">
        <v>861</v>
      </c>
      <c r="B324" t="s">
        <v>340</v>
      </c>
      <c r="C324">
        <v>72</v>
      </c>
      <c r="D324">
        <v>3</v>
      </c>
      <c r="E324" t="s">
        <v>468</v>
      </c>
    </row>
    <row r="325" spans="1:5" x14ac:dyDescent="0.25">
      <c r="A325">
        <v>862</v>
      </c>
      <c r="B325" t="s">
        <v>341</v>
      </c>
      <c r="C325">
        <v>108</v>
      </c>
      <c r="D325">
        <v>3</v>
      </c>
      <c r="E325" t="s">
        <v>468</v>
      </c>
    </row>
    <row r="326" spans="1:5" x14ac:dyDescent="0.25">
      <c r="A326">
        <v>863</v>
      </c>
      <c r="B326" t="s">
        <v>342</v>
      </c>
      <c r="C326">
        <v>144</v>
      </c>
      <c r="D326">
        <v>3</v>
      </c>
      <c r="E326" t="s">
        <v>468</v>
      </c>
    </row>
    <row r="327" spans="1:5" x14ac:dyDescent="0.25">
      <c r="A327">
        <v>864</v>
      </c>
      <c r="B327" t="s">
        <v>343</v>
      </c>
      <c r="C327">
        <v>180</v>
      </c>
      <c r="D327">
        <v>3</v>
      </c>
      <c r="E327" t="s">
        <v>468</v>
      </c>
    </row>
    <row r="328" spans="1:5" x14ac:dyDescent="0.25">
      <c r="A328">
        <v>865</v>
      </c>
      <c r="B328" t="s">
        <v>344</v>
      </c>
      <c r="C328">
        <v>216</v>
      </c>
      <c r="D328">
        <v>3</v>
      </c>
      <c r="E328" t="s">
        <v>468</v>
      </c>
    </row>
    <row r="329" spans="1:5" x14ac:dyDescent="0.25">
      <c r="A329">
        <v>866</v>
      </c>
      <c r="B329" t="s">
        <v>345</v>
      </c>
      <c r="C329">
        <v>252</v>
      </c>
      <c r="D329">
        <v>3</v>
      </c>
      <c r="E329" t="s">
        <v>468</v>
      </c>
    </row>
    <row r="330" spans="1:5" x14ac:dyDescent="0.25">
      <c r="A330">
        <v>867</v>
      </c>
      <c r="B330" t="s">
        <v>346</v>
      </c>
      <c r="C330">
        <v>216</v>
      </c>
      <c r="D330">
        <v>3</v>
      </c>
      <c r="E330" t="s">
        <v>468</v>
      </c>
    </row>
    <row r="331" spans="1:5" x14ac:dyDescent="0.25">
      <c r="A331">
        <v>868</v>
      </c>
      <c r="B331" t="s">
        <v>347</v>
      </c>
      <c r="C331">
        <v>252</v>
      </c>
      <c r="D331">
        <v>3</v>
      </c>
      <c r="E331" t="s">
        <v>468</v>
      </c>
    </row>
    <row r="332" spans="1:5" x14ac:dyDescent="0.25">
      <c r="A332">
        <v>869</v>
      </c>
      <c r="B332" t="s">
        <v>348</v>
      </c>
      <c r="C332">
        <v>288</v>
      </c>
      <c r="D332">
        <v>3</v>
      </c>
      <c r="E332" t="s">
        <v>468</v>
      </c>
    </row>
    <row r="333" spans="1:5" x14ac:dyDescent="0.25">
      <c r="A333">
        <v>870</v>
      </c>
      <c r="B333" t="s">
        <v>349</v>
      </c>
      <c r="C333">
        <v>252</v>
      </c>
      <c r="D333">
        <v>3</v>
      </c>
      <c r="E333" t="s">
        <v>468</v>
      </c>
    </row>
    <row r="334" spans="1:5" x14ac:dyDescent="0.25">
      <c r="A334">
        <v>871</v>
      </c>
      <c r="B334" t="s">
        <v>350</v>
      </c>
      <c r="C334">
        <v>288</v>
      </c>
      <c r="D334">
        <v>3</v>
      </c>
      <c r="E334" t="s">
        <v>468</v>
      </c>
    </row>
    <row r="335" spans="1:5" x14ac:dyDescent="0.25">
      <c r="A335">
        <v>872</v>
      </c>
      <c r="B335" t="s">
        <v>351</v>
      </c>
      <c r="C335">
        <v>324</v>
      </c>
      <c r="D335">
        <v>3</v>
      </c>
      <c r="E335" t="s">
        <v>468</v>
      </c>
    </row>
    <row r="336" spans="1:5" x14ac:dyDescent="0.25">
      <c r="A336">
        <v>873</v>
      </c>
      <c r="B336" t="s">
        <v>352</v>
      </c>
      <c r="C336">
        <v>180</v>
      </c>
      <c r="D336">
        <v>3</v>
      </c>
      <c r="E336" t="s">
        <v>468</v>
      </c>
    </row>
    <row r="337" spans="1:5" x14ac:dyDescent="0.25">
      <c r="A337">
        <v>874</v>
      </c>
      <c r="B337" t="s">
        <v>353</v>
      </c>
      <c r="C337">
        <v>252</v>
      </c>
      <c r="D337">
        <v>3</v>
      </c>
      <c r="E337" t="s">
        <v>468</v>
      </c>
    </row>
    <row r="338" spans="1:5" x14ac:dyDescent="0.25">
      <c r="A338">
        <v>875</v>
      </c>
      <c r="B338" t="s">
        <v>354</v>
      </c>
      <c r="C338">
        <v>288</v>
      </c>
      <c r="D338">
        <v>3</v>
      </c>
      <c r="E338" t="s">
        <v>468</v>
      </c>
    </row>
    <row r="339" spans="1:5" x14ac:dyDescent="0.25">
      <c r="A339">
        <v>876</v>
      </c>
      <c r="B339" t="s">
        <v>355</v>
      </c>
      <c r="C339">
        <v>0</v>
      </c>
      <c r="D339">
        <v>3</v>
      </c>
      <c r="E339" t="s">
        <v>469</v>
      </c>
    </row>
    <row r="340" spans="1:5" x14ac:dyDescent="0.25">
      <c r="A340">
        <v>877</v>
      </c>
      <c r="B340" t="s">
        <v>356</v>
      </c>
      <c r="C340">
        <v>36</v>
      </c>
      <c r="D340">
        <v>3</v>
      </c>
      <c r="E340" t="s">
        <v>468</v>
      </c>
    </row>
    <row r="341" spans="1:5" x14ac:dyDescent="0.25">
      <c r="A341">
        <v>878</v>
      </c>
      <c r="B341" t="s">
        <v>357</v>
      </c>
      <c r="C341">
        <v>108</v>
      </c>
      <c r="D341">
        <v>3</v>
      </c>
      <c r="E341" t="s">
        <v>468</v>
      </c>
    </row>
    <row r="342" spans="1:5" x14ac:dyDescent="0.25">
      <c r="A342">
        <v>879</v>
      </c>
      <c r="B342" t="s">
        <v>358</v>
      </c>
      <c r="C342">
        <v>144</v>
      </c>
      <c r="D342">
        <v>3</v>
      </c>
      <c r="E342" t="s">
        <v>468</v>
      </c>
    </row>
    <row r="343" spans="1:5" x14ac:dyDescent="0.25">
      <c r="A343">
        <v>880</v>
      </c>
      <c r="B343" t="s">
        <v>359</v>
      </c>
      <c r="C343">
        <v>108</v>
      </c>
      <c r="D343">
        <v>3</v>
      </c>
      <c r="E343" t="s">
        <v>468</v>
      </c>
    </row>
    <row r="344" spans="1:5" x14ac:dyDescent="0.25">
      <c r="A344">
        <v>881</v>
      </c>
      <c r="B344" t="s">
        <v>360</v>
      </c>
      <c r="C344">
        <v>324</v>
      </c>
      <c r="D344">
        <v>3</v>
      </c>
      <c r="E344" t="s">
        <v>468</v>
      </c>
    </row>
    <row r="345" spans="1:5" x14ac:dyDescent="0.25">
      <c r="A345">
        <v>882</v>
      </c>
      <c r="B345" t="s">
        <v>361</v>
      </c>
      <c r="C345">
        <v>0</v>
      </c>
      <c r="D345">
        <v>3</v>
      </c>
      <c r="E345" t="s">
        <v>469</v>
      </c>
    </row>
    <row r="346" spans="1:5" x14ac:dyDescent="0.25">
      <c r="A346">
        <v>883</v>
      </c>
      <c r="B346" t="s">
        <v>362</v>
      </c>
      <c r="C346">
        <v>36</v>
      </c>
      <c r="D346">
        <v>3</v>
      </c>
      <c r="E346" t="s">
        <v>468</v>
      </c>
    </row>
    <row r="347" spans="1:5" x14ac:dyDescent="0.25">
      <c r="A347">
        <v>884</v>
      </c>
      <c r="B347" t="s">
        <v>363</v>
      </c>
      <c r="C347">
        <v>72</v>
      </c>
      <c r="D347">
        <v>3</v>
      </c>
      <c r="E347" t="s">
        <v>468</v>
      </c>
    </row>
    <row r="348" spans="1:5" x14ac:dyDescent="0.25">
      <c r="A348">
        <v>894</v>
      </c>
      <c r="B348" t="s">
        <v>364</v>
      </c>
      <c r="C348">
        <v>847</v>
      </c>
      <c r="D348">
        <v>375</v>
      </c>
      <c r="E348" t="s">
        <v>468</v>
      </c>
    </row>
    <row r="349" spans="1:5" x14ac:dyDescent="0.25">
      <c r="A349">
        <v>907</v>
      </c>
      <c r="B349" t="s">
        <v>365</v>
      </c>
      <c r="C349">
        <v>723</v>
      </c>
      <c r="D349">
        <v>375</v>
      </c>
      <c r="E349" t="s">
        <v>468</v>
      </c>
    </row>
    <row r="350" spans="1:5" x14ac:dyDescent="0.25">
      <c r="A350">
        <v>908</v>
      </c>
      <c r="B350" t="s">
        <v>366</v>
      </c>
      <c r="C350">
        <v>809</v>
      </c>
      <c r="D350">
        <v>375</v>
      </c>
      <c r="E350" t="s">
        <v>468</v>
      </c>
    </row>
    <row r="351" spans="1:5" x14ac:dyDescent="0.25">
      <c r="A351">
        <v>909</v>
      </c>
      <c r="B351" t="s">
        <v>367</v>
      </c>
      <c r="C351">
        <v>422</v>
      </c>
      <c r="D351">
        <v>375</v>
      </c>
      <c r="E351" t="s">
        <v>468</v>
      </c>
    </row>
    <row r="352" spans="1:5" x14ac:dyDescent="0.25">
      <c r="A352">
        <v>910</v>
      </c>
      <c r="B352" t="s">
        <v>368</v>
      </c>
      <c r="C352">
        <v>355</v>
      </c>
      <c r="D352">
        <v>375</v>
      </c>
      <c r="E352" t="s">
        <v>469</v>
      </c>
    </row>
    <row r="353" spans="1:5" x14ac:dyDescent="0.25">
      <c r="A353">
        <v>911</v>
      </c>
      <c r="B353" t="s">
        <v>369</v>
      </c>
      <c r="C353">
        <v>906</v>
      </c>
      <c r="D353">
        <v>375</v>
      </c>
      <c r="E353" t="s">
        <v>468</v>
      </c>
    </row>
    <row r="354" spans="1:5" x14ac:dyDescent="0.25">
      <c r="A354">
        <v>912</v>
      </c>
      <c r="B354" t="s">
        <v>370</v>
      </c>
      <c r="C354">
        <v>901</v>
      </c>
      <c r="D354">
        <v>375</v>
      </c>
      <c r="E354" t="s">
        <v>468</v>
      </c>
    </row>
    <row r="355" spans="1:5" x14ac:dyDescent="0.25">
      <c r="A355">
        <v>913</v>
      </c>
      <c r="B355" t="s">
        <v>371</v>
      </c>
      <c r="C355">
        <v>467</v>
      </c>
      <c r="D355">
        <v>375</v>
      </c>
      <c r="E355" t="s">
        <v>468</v>
      </c>
    </row>
    <row r="356" spans="1:5" x14ac:dyDescent="0.25">
      <c r="A356">
        <v>914</v>
      </c>
      <c r="B356" t="s">
        <v>372</v>
      </c>
      <c r="C356">
        <v>801</v>
      </c>
      <c r="D356">
        <v>375</v>
      </c>
      <c r="E356" t="s">
        <v>468</v>
      </c>
    </row>
    <row r="357" spans="1:5" x14ac:dyDescent="0.25">
      <c r="A357">
        <v>915</v>
      </c>
      <c r="B357" t="s">
        <v>373</v>
      </c>
      <c r="C357">
        <v>402</v>
      </c>
      <c r="D357">
        <v>375</v>
      </c>
      <c r="E357" t="s">
        <v>468</v>
      </c>
    </row>
    <row r="358" spans="1:5" x14ac:dyDescent="0.25">
      <c r="A358">
        <v>916</v>
      </c>
      <c r="B358" t="s">
        <v>374</v>
      </c>
      <c r="C358">
        <v>989</v>
      </c>
      <c r="D358">
        <v>375</v>
      </c>
      <c r="E358" t="s">
        <v>468</v>
      </c>
    </row>
    <row r="359" spans="1:5" x14ac:dyDescent="0.25">
      <c r="A359">
        <v>921</v>
      </c>
      <c r="B359" t="s">
        <v>375</v>
      </c>
      <c r="C359">
        <v>529</v>
      </c>
      <c r="D359">
        <v>375</v>
      </c>
      <c r="E359" t="s">
        <v>468</v>
      </c>
    </row>
    <row r="360" spans="1:5" x14ac:dyDescent="0.25">
      <c r="A360">
        <v>922</v>
      </c>
      <c r="B360" t="s">
        <v>376</v>
      </c>
      <c r="C360">
        <v>505</v>
      </c>
      <c r="D360">
        <v>375</v>
      </c>
      <c r="E360" t="s">
        <v>468</v>
      </c>
    </row>
    <row r="361" spans="1:5" x14ac:dyDescent="0.25">
      <c r="A361">
        <v>923</v>
      </c>
      <c r="B361" t="s">
        <v>377</v>
      </c>
      <c r="C361">
        <v>502</v>
      </c>
      <c r="D361">
        <v>375</v>
      </c>
      <c r="E361" t="s">
        <v>468</v>
      </c>
    </row>
    <row r="362" spans="1:5" x14ac:dyDescent="0.25">
      <c r="A362">
        <v>928</v>
      </c>
      <c r="B362" t="s">
        <v>378</v>
      </c>
      <c r="C362">
        <v>609</v>
      </c>
      <c r="D362">
        <v>375</v>
      </c>
      <c r="E362" t="s">
        <v>468</v>
      </c>
    </row>
    <row r="363" spans="1:5" x14ac:dyDescent="0.25">
      <c r="A363">
        <v>929</v>
      </c>
      <c r="B363" t="s">
        <v>379</v>
      </c>
      <c r="C363">
        <v>669</v>
      </c>
      <c r="D363">
        <v>375</v>
      </c>
      <c r="E363" t="s">
        <v>468</v>
      </c>
    </row>
    <row r="364" spans="1:5" x14ac:dyDescent="0.25">
      <c r="A364">
        <v>930</v>
      </c>
      <c r="B364" t="s">
        <v>380</v>
      </c>
      <c r="C364">
        <v>499</v>
      </c>
      <c r="D364">
        <v>375</v>
      </c>
      <c r="E364" t="s">
        <v>468</v>
      </c>
    </row>
    <row r="365" spans="1:5" x14ac:dyDescent="0.25">
      <c r="A365">
        <v>931</v>
      </c>
      <c r="B365" t="s">
        <v>381</v>
      </c>
      <c r="C365">
        <v>488</v>
      </c>
      <c r="D365">
        <v>375</v>
      </c>
      <c r="E365" t="s">
        <v>468</v>
      </c>
    </row>
    <row r="366" spans="1:5" x14ac:dyDescent="0.25">
      <c r="A366">
        <v>932</v>
      </c>
      <c r="B366" t="s">
        <v>382</v>
      </c>
      <c r="C366">
        <v>574</v>
      </c>
      <c r="D366">
        <v>375</v>
      </c>
      <c r="E366" t="s">
        <v>468</v>
      </c>
    </row>
    <row r="367" spans="1:5" x14ac:dyDescent="0.25">
      <c r="A367">
        <v>933</v>
      </c>
      <c r="B367" t="s">
        <v>383</v>
      </c>
      <c r="C367">
        <v>527</v>
      </c>
      <c r="D367">
        <v>375</v>
      </c>
      <c r="E367" t="s">
        <v>468</v>
      </c>
    </row>
    <row r="368" spans="1:5" x14ac:dyDescent="0.25">
      <c r="A368">
        <v>934</v>
      </c>
      <c r="B368" t="s">
        <v>384</v>
      </c>
      <c r="C368">
        <v>482</v>
      </c>
      <c r="D368">
        <v>375</v>
      </c>
      <c r="E368" t="s">
        <v>468</v>
      </c>
    </row>
    <row r="369" spans="1:5" x14ac:dyDescent="0.25">
      <c r="A369">
        <v>935</v>
      </c>
      <c r="B369" t="s">
        <v>385</v>
      </c>
      <c r="C369">
        <v>512</v>
      </c>
      <c r="D369">
        <v>375</v>
      </c>
      <c r="E369" t="s">
        <v>468</v>
      </c>
    </row>
    <row r="370" spans="1:5" x14ac:dyDescent="0.25">
      <c r="A370">
        <v>936</v>
      </c>
      <c r="B370" t="s">
        <v>386</v>
      </c>
      <c r="C370">
        <v>507</v>
      </c>
      <c r="D370">
        <v>375</v>
      </c>
      <c r="E370" t="s">
        <v>468</v>
      </c>
    </row>
    <row r="371" spans="1:5" x14ac:dyDescent="0.25">
      <c r="A371">
        <v>937</v>
      </c>
      <c r="B371" t="s">
        <v>387</v>
      </c>
      <c r="C371">
        <v>503</v>
      </c>
      <c r="D371">
        <v>375</v>
      </c>
      <c r="E371" t="s">
        <v>468</v>
      </c>
    </row>
    <row r="372" spans="1:5" x14ac:dyDescent="0.25">
      <c r="A372">
        <v>938</v>
      </c>
      <c r="B372" t="s">
        <v>388</v>
      </c>
      <c r="C372">
        <v>498</v>
      </c>
      <c r="D372">
        <v>375</v>
      </c>
      <c r="E372" t="s">
        <v>468</v>
      </c>
    </row>
    <row r="373" spans="1:5" x14ac:dyDescent="0.25">
      <c r="A373">
        <v>939</v>
      </c>
      <c r="B373" t="s">
        <v>389</v>
      </c>
      <c r="C373">
        <v>494</v>
      </c>
      <c r="D373">
        <v>375</v>
      </c>
      <c r="E373" t="s">
        <v>468</v>
      </c>
    </row>
    <row r="374" spans="1:5" x14ac:dyDescent="0.25">
      <c r="A374">
        <v>940</v>
      </c>
      <c r="B374" t="s">
        <v>390</v>
      </c>
      <c r="C374">
        <v>906</v>
      </c>
      <c r="D374">
        <v>375</v>
      </c>
      <c r="E374" t="s">
        <v>468</v>
      </c>
    </row>
    <row r="375" spans="1:5" x14ac:dyDescent="0.25">
      <c r="A375">
        <v>941</v>
      </c>
      <c r="B375" t="s">
        <v>391</v>
      </c>
      <c r="C375">
        <v>885</v>
      </c>
      <c r="D375">
        <v>375</v>
      </c>
      <c r="E375" t="s">
        <v>468</v>
      </c>
    </row>
    <row r="376" spans="1:5" x14ac:dyDescent="0.25">
      <c r="A376">
        <v>942</v>
      </c>
      <c r="B376" t="s">
        <v>392</v>
      </c>
      <c r="C376">
        <v>826</v>
      </c>
      <c r="D376">
        <v>375</v>
      </c>
      <c r="E376" t="s">
        <v>468</v>
      </c>
    </row>
    <row r="377" spans="1:5" x14ac:dyDescent="0.25">
      <c r="A377">
        <v>943</v>
      </c>
      <c r="B377" t="s">
        <v>393</v>
      </c>
      <c r="C377">
        <v>719</v>
      </c>
      <c r="D377">
        <v>375</v>
      </c>
      <c r="E377" t="s">
        <v>468</v>
      </c>
    </row>
    <row r="378" spans="1:5" x14ac:dyDescent="0.25">
      <c r="A378">
        <v>944</v>
      </c>
      <c r="B378" t="s">
        <v>394</v>
      </c>
      <c r="C378">
        <v>682</v>
      </c>
      <c r="D378">
        <v>375</v>
      </c>
      <c r="E378" t="s">
        <v>468</v>
      </c>
    </row>
    <row r="379" spans="1:5" x14ac:dyDescent="0.25">
      <c r="A379">
        <v>945</v>
      </c>
      <c r="B379" t="s">
        <v>395</v>
      </c>
      <c r="C379">
        <v>853</v>
      </c>
      <c r="D379">
        <v>375</v>
      </c>
      <c r="E379" t="s">
        <v>468</v>
      </c>
    </row>
    <row r="380" spans="1:5" x14ac:dyDescent="0.25">
      <c r="A380">
        <v>946</v>
      </c>
      <c r="B380" t="s">
        <v>396</v>
      </c>
      <c r="C380">
        <v>802</v>
      </c>
      <c r="D380">
        <v>375</v>
      </c>
      <c r="E380" t="s">
        <v>468</v>
      </c>
    </row>
    <row r="381" spans="1:5" x14ac:dyDescent="0.25">
      <c r="A381">
        <v>947</v>
      </c>
      <c r="B381" t="s">
        <v>397</v>
      </c>
      <c r="C381">
        <v>792</v>
      </c>
      <c r="D381">
        <v>375</v>
      </c>
      <c r="E381" t="s">
        <v>468</v>
      </c>
    </row>
    <row r="382" spans="1:5" x14ac:dyDescent="0.25">
      <c r="A382">
        <v>948</v>
      </c>
      <c r="B382" t="s">
        <v>398</v>
      </c>
      <c r="C382">
        <v>767</v>
      </c>
      <c r="D382">
        <v>375</v>
      </c>
      <c r="E382" t="s">
        <v>468</v>
      </c>
    </row>
    <row r="383" spans="1:5" x14ac:dyDescent="0.25">
      <c r="A383">
        <v>949</v>
      </c>
      <c r="B383" t="s">
        <v>399</v>
      </c>
      <c r="C383">
        <v>885</v>
      </c>
      <c r="D383">
        <v>375</v>
      </c>
      <c r="E383" t="s">
        <v>468</v>
      </c>
    </row>
    <row r="384" spans="1:5" x14ac:dyDescent="0.25">
      <c r="A384">
        <v>950</v>
      </c>
      <c r="B384" t="s">
        <v>400</v>
      </c>
      <c r="C384">
        <v>905</v>
      </c>
      <c r="D384">
        <v>375</v>
      </c>
      <c r="E384" t="s">
        <v>468</v>
      </c>
    </row>
    <row r="385" spans="1:5" x14ac:dyDescent="0.25">
      <c r="A385">
        <v>951</v>
      </c>
      <c r="B385" t="s">
        <v>401</v>
      </c>
      <c r="C385">
        <v>923</v>
      </c>
      <c r="D385">
        <v>375</v>
      </c>
      <c r="E385" t="s">
        <v>468</v>
      </c>
    </row>
    <row r="386" spans="1:5" x14ac:dyDescent="0.25">
      <c r="A386">
        <v>952</v>
      </c>
      <c r="B386" t="s">
        <v>402</v>
      </c>
      <c r="C386">
        <v>589</v>
      </c>
      <c r="D386">
        <v>375</v>
      </c>
      <c r="E386" t="s">
        <v>468</v>
      </c>
    </row>
    <row r="387" spans="1:5" x14ac:dyDescent="0.25">
      <c r="A387">
        <v>953</v>
      </c>
      <c r="B387" t="s">
        <v>403</v>
      </c>
      <c r="C387">
        <v>165</v>
      </c>
      <c r="D387">
        <v>75</v>
      </c>
      <c r="E387" t="s">
        <v>468</v>
      </c>
    </row>
    <row r="388" spans="1:5" x14ac:dyDescent="0.25">
      <c r="A388">
        <v>954</v>
      </c>
      <c r="B388" t="s">
        <v>404</v>
      </c>
      <c r="C388">
        <v>148</v>
      </c>
      <c r="D388">
        <v>75</v>
      </c>
      <c r="E388" t="s">
        <v>468</v>
      </c>
    </row>
    <row r="389" spans="1:5" x14ac:dyDescent="0.25">
      <c r="A389">
        <v>955</v>
      </c>
      <c r="B389" t="s">
        <v>405</v>
      </c>
      <c r="C389">
        <v>137</v>
      </c>
      <c r="D389">
        <v>75</v>
      </c>
      <c r="E389" t="s">
        <v>468</v>
      </c>
    </row>
    <row r="390" spans="1:5" x14ac:dyDescent="0.25">
      <c r="A390">
        <v>956</v>
      </c>
      <c r="B390" t="s">
        <v>406</v>
      </c>
      <c r="C390">
        <v>75</v>
      </c>
      <c r="D390">
        <v>75</v>
      </c>
      <c r="E390" t="s">
        <v>469</v>
      </c>
    </row>
    <row r="391" spans="1:5" x14ac:dyDescent="0.25">
      <c r="A391">
        <v>957</v>
      </c>
      <c r="B391" t="s">
        <v>407</v>
      </c>
      <c r="C391">
        <v>151</v>
      </c>
      <c r="D391">
        <v>75</v>
      </c>
      <c r="E391" t="s">
        <v>468</v>
      </c>
    </row>
    <row r="392" spans="1:5" x14ac:dyDescent="0.25">
      <c r="A392">
        <v>958</v>
      </c>
      <c r="B392" t="s">
        <v>408</v>
      </c>
      <c r="C392">
        <v>163</v>
      </c>
      <c r="D392">
        <v>75</v>
      </c>
      <c r="E392" t="s">
        <v>468</v>
      </c>
    </row>
    <row r="393" spans="1:5" x14ac:dyDescent="0.25">
      <c r="A393">
        <v>959</v>
      </c>
      <c r="B393" t="s">
        <v>409</v>
      </c>
      <c r="C393">
        <v>204</v>
      </c>
      <c r="D393">
        <v>75</v>
      </c>
      <c r="E393" t="s">
        <v>468</v>
      </c>
    </row>
    <row r="394" spans="1:5" x14ac:dyDescent="0.25">
      <c r="A394">
        <v>960</v>
      </c>
      <c r="B394" t="s">
        <v>410</v>
      </c>
      <c r="C394">
        <v>159</v>
      </c>
      <c r="D394">
        <v>75</v>
      </c>
      <c r="E394" t="s">
        <v>468</v>
      </c>
    </row>
    <row r="395" spans="1:5" x14ac:dyDescent="0.25">
      <c r="A395">
        <v>961</v>
      </c>
      <c r="B395" t="s">
        <v>411</v>
      </c>
      <c r="C395">
        <v>168</v>
      </c>
      <c r="D395">
        <v>75</v>
      </c>
      <c r="E395" t="s">
        <v>468</v>
      </c>
    </row>
    <row r="396" spans="1:5" x14ac:dyDescent="0.25">
      <c r="A396">
        <v>962</v>
      </c>
      <c r="B396" t="s">
        <v>412</v>
      </c>
      <c r="C396">
        <v>174</v>
      </c>
      <c r="D396">
        <v>75</v>
      </c>
      <c r="E396" t="s">
        <v>468</v>
      </c>
    </row>
    <row r="397" spans="1:5" x14ac:dyDescent="0.25">
      <c r="A397">
        <v>963</v>
      </c>
      <c r="B397" t="s">
        <v>413</v>
      </c>
      <c r="C397">
        <v>162</v>
      </c>
      <c r="D397">
        <v>75</v>
      </c>
      <c r="E397" t="s">
        <v>468</v>
      </c>
    </row>
    <row r="398" spans="1:5" x14ac:dyDescent="0.25">
      <c r="A398">
        <v>964</v>
      </c>
      <c r="B398" t="s">
        <v>414</v>
      </c>
      <c r="C398">
        <v>197</v>
      </c>
      <c r="D398">
        <v>75</v>
      </c>
      <c r="E398" t="s">
        <v>468</v>
      </c>
    </row>
    <row r="399" spans="1:5" x14ac:dyDescent="0.25">
      <c r="A399">
        <v>965</v>
      </c>
      <c r="B399" t="s">
        <v>415</v>
      </c>
      <c r="C399">
        <v>163</v>
      </c>
      <c r="D399">
        <v>75</v>
      </c>
      <c r="E399" t="s">
        <v>468</v>
      </c>
    </row>
    <row r="400" spans="1:5" x14ac:dyDescent="0.25">
      <c r="A400">
        <v>966</v>
      </c>
      <c r="B400" t="s">
        <v>416</v>
      </c>
      <c r="C400">
        <v>185</v>
      </c>
      <c r="D400">
        <v>75</v>
      </c>
      <c r="E400" t="s">
        <v>468</v>
      </c>
    </row>
    <row r="401" spans="1:5" x14ac:dyDescent="0.25">
      <c r="A401">
        <v>967</v>
      </c>
      <c r="B401" t="s">
        <v>417</v>
      </c>
      <c r="C401">
        <v>148</v>
      </c>
      <c r="D401">
        <v>75</v>
      </c>
      <c r="E401" t="s">
        <v>468</v>
      </c>
    </row>
    <row r="402" spans="1:5" x14ac:dyDescent="0.25">
      <c r="A402">
        <v>968</v>
      </c>
      <c r="B402" t="s">
        <v>418</v>
      </c>
      <c r="C402">
        <v>133</v>
      </c>
      <c r="D402">
        <v>75</v>
      </c>
      <c r="E402" t="s">
        <v>468</v>
      </c>
    </row>
    <row r="403" spans="1:5" x14ac:dyDescent="0.25">
      <c r="A403">
        <v>969</v>
      </c>
      <c r="B403" t="s">
        <v>419</v>
      </c>
      <c r="C403">
        <v>129</v>
      </c>
      <c r="D403">
        <v>75</v>
      </c>
      <c r="E403" t="s">
        <v>468</v>
      </c>
    </row>
    <row r="404" spans="1:5" x14ac:dyDescent="0.25">
      <c r="A404">
        <v>970</v>
      </c>
      <c r="B404" t="s">
        <v>420</v>
      </c>
      <c r="C404">
        <v>133</v>
      </c>
      <c r="D404">
        <v>75</v>
      </c>
      <c r="E404" t="s">
        <v>468</v>
      </c>
    </row>
    <row r="405" spans="1:5" x14ac:dyDescent="0.25">
      <c r="A405">
        <v>971</v>
      </c>
      <c r="B405" t="s">
        <v>421</v>
      </c>
      <c r="C405">
        <v>227</v>
      </c>
      <c r="D405">
        <v>75</v>
      </c>
      <c r="E405" t="s">
        <v>468</v>
      </c>
    </row>
    <row r="406" spans="1:5" x14ac:dyDescent="0.25">
      <c r="A406">
        <v>972</v>
      </c>
      <c r="B406" t="s">
        <v>422</v>
      </c>
      <c r="C406">
        <v>129</v>
      </c>
      <c r="D406">
        <v>75</v>
      </c>
      <c r="E406" t="s">
        <v>468</v>
      </c>
    </row>
    <row r="407" spans="1:5" x14ac:dyDescent="0.25">
      <c r="A407">
        <v>973</v>
      </c>
      <c r="B407" t="s">
        <v>423</v>
      </c>
      <c r="C407">
        <v>185</v>
      </c>
      <c r="D407">
        <v>75</v>
      </c>
      <c r="E407" t="s">
        <v>468</v>
      </c>
    </row>
    <row r="408" spans="1:5" x14ac:dyDescent="0.25">
      <c r="A408">
        <v>974</v>
      </c>
      <c r="B408" t="s">
        <v>424</v>
      </c>
      <c r="C408">
        <v>148</v>
      </c>
      <c r="D408">
        <v>75</v>
      </c>
      <c r="E408" t="s">
        <v>468</v>
      </c>
    </row>
    <row r="409" spans="1:5" x14ac:dyDescent="0.25">
      <c r="A409">
        <v>975</v>
      </c>
      <c r="B409" t="s">
        <v>425</v>
      </c>
      <c r="C409">
        <v>133</v>
      </c>
      <c r="D409">
        <v>75</v>
      </c>
      <c r="E409" t="s">
        <v>468</v>
      </c>
    </row>
    <row r="410" spans="1:5" x14ac:dyDescent="0.25">
      <c r="A410">
        <v>976</v>
      </c>
      <c r="B410" t="s">
        <v>426</v>
      </c>
      <c r="C410">
        <v>227</v>
      </c>
      <c r="D410">
        <v>75</v>
      </c>
      <c r="E410" t="s">
        <v>468</v>
      </c>
    </row>
    <row r="411" spans="1:5" x14ac:dyDescent="0.25">
      <c r="A411">
        <v>977</v>
      </c>
      <c r="B411" t="s">
        <v>427</v>
      </c>
      <c r="C411">
        <v>153</v>
      </c>
      <c r="D411">
        <v>75</v>
      </c>
      <c r="E411" t="s">
        <v>468</v>
      </c>
    </row>
    <row r="412" spans="1:5" x14ac:dyDescent="0.25">
      <c r="A412">
        <v>978</v>
      </c>
      <c r="B412" t="s">
        <v>428</v>
      </c>
      <c r="C412">
        <v>163</v>
      </c>
      <c r="D412">
        <v>75</v>
      </c>
      <c r="E412" t="s">
        <v>468</v>
      </c>
    </row>
    <row r="413" spans="1:5" x14ac:dyDescent="0.25">
      <c r="A413">
        <v>979</v>
      </c>
      <c r="B413" t="s">
        <v>429</v>
      </c>
      <c r="C413">
        <v>164</v>
      </c>
      <c r="D413">
        <v>75</v>
      </c>
      <c r="E413" t="s">
        <v>468</v>
      </c>
    </row>
    <row r="414" spans="1:5" x14ac:dyDescent="0.25">
      <c r="A414">
        <v>980</v>
      </c>
      <c r="B414" t="s">
        <v>430</v>
      </c>
      <c r="C414">
        <v>150</v>
      </c>
      <c r="D414">
        <v>75</v>
      </c>
      <c r="E414" t="s">
        <v>468</v>
      </c>
    </row>
    <row r="415" spans="1:5" x14ac:dyDescent="0.25">
      <c r="A415">
        <v>981</v>
      </c>
      <c r="B415" t="s">
        <v>431</v>
      </c>
      <c r="C415">
        <v>153</v>
      </c>
      <c r="D415">
        <v>75</v>
      </c>
      <c r="E415" t="s">
        <v>468</v>
      </c>
    </row>
    <row r="416" spans="1:5" x14ac:dyDescent="0.25">
      <c r="A416">
        <v>982</v>
      </c>
      <c r="B416" t="s">
        <v>432</v>
      </c>
      <c r="C416">
        <v>154</v>
      </c>
      <c r="D416">
        <v>75</v>
      </c>
      <c r="E416" t="s">
        <v>468</v>
      </c>
    </row>
    <row r="417" spans="1:5" x14ac:dyDescent="0.25">
      <c r="A417">
        <v>983</v>
      </c>
      <c r="B417" t="s">
        <v>433</v>
      </c>
      <c r="C417">
        <v>164</v>
      </c>
      <c r="D417">
        <v>75</v>
      </c>
      <c r="E417" t="s">
        <v>468</v>
      </c>
    </row>
    <row r="418" spans="1:5" x14ac:dyDescent="0.25">
      <c r="A418">
        <v>984</v>
      </c>
      <c r="B418" t="s">
        <v>434</v>
      </c>
      <c r="C418">
        <v>154</v>
      </c>
      <c r="D418">
        <v>75</v>
      </c>
      <c r="E418" t="s">
        <v>468</v>
      </c>
    </row>
    <row r="419" spans="1:5" x14ac:dyDescent="0.25">
      <c r="A419">
        <v>985</v>
      </c>
      <c r="B419" t="s">
        <v>435</v>
      </c>
      <c r="C419">
        <v>164</v>
      </c>
      <c r="D419">
        <v>75</v>
      </c>
      <c r="E419" t="s">
        <v>468</v>
      </c>
    </row>
    <row r="420" spans="1:5" x14ac:dyDescent="0.25">
      <c r="A420">
        <v>986</v>
      </c>
      <c r="B420" t="s">
        <v>436</v>
      </c>
      <c r="C420">
        <v>153</v>
      </c>
      <c r="D420">
        <v>75</v>
      </c>
      <c r="E420" t="s">
        <v>468</v>
      </c>
    </row>
    <row r="421" spans="1:5" x14ac:dyDescent="0.25">
      <c r="A421">
        <v>987</v>
      </c>
      <c r="B421" t="s">
        <v>437</v>
      </c>
      <c r="C421">
        <v>155</v>
      </c>
      <c r="D421">
        <v>75</v>
      </c>
      <c r="E421" t="s">
        <v>468</v>
      </c>
    </row>
    <row r="422" spans="1:5" x14ac:dyDescent="0.25">
      <c r="A422">
        <v>988</v>
      </c>
      <c r="B422" t="s">
        <v>438</v>
      </c>
      <c r="C422">
        <v>194</v>
      </c>
      <c r="D422">
        <v>75</v>
      </c>
      <c r="E422" t="s">
        <v>468</v>
      </c>
    </row>
    <row r="423" spans="1:5" x14ac:dyDescent="0.25">
      <c r="A423">
        <v>989</v>
      </c>
      <c r="B423" t="s">
        <v>439</v>
      </c>
      <c r="C423">
        <v>150</v>
      </c>
      <c r="D423">
        <v>75</v>
      </c>
      <c r="E423" t="s">
        <v>468</v>
      </c>
    </row>
    <row r="424" spans="1:5" x14ac:dyDescent="0.25">
      <c r="A424">
        <v>990</v>
      </c>
      <c r="B424" t="s">
        <v>440</v>
      </c>
      <c r="C424">
        <v>153</v>
      </c>
      <c r="D424">
        <v>75</v>
      </c>
      <c r="E424" t="s">
        <v>468</v>
      </c>
    </row>
    <row r="425" spans="1:5" x14ac:dyDescent="0.25">
      <c r="A425">
        <v>991</v>
      </c>
      <c r="B425" t="s">
        <v>441</v>
      </c>
      <c r="C425">
        <v>154</v>
      </c>
      <c r="D425">
        <v>75</v>
      </c>
      <c r="E425" t="s">
        <v>468</v>
      </c>
    </row>
    <row r="426" spans="1:5" x14ac:dyDescent="0.25">
      <c r="A426">
        <v>992</v>
      </c>
      <c r="B426" t="s">
        <v>442</v>
      </c>
      <c r="C426">
        <v>164</v>
      </c>
      <c r="D426">
        <v>75</v>
      </c>
      <c r="E426" t="s">
        <v>468</v>
      </c>
    </row>
    <row r="427" spans="1:5" x14ac:dyDescent="0.25">
      <c r="A427">
        <v>993</v>
      </c>
      <c r="B427" t="s">
        <v>443</v>
      </c>
      <c r="C427">
        <v>153</v>
      </c>
      <c r="D427">
        <v>75</v>
      </c>
      <c r="E427" t="s">
        <v>468</v>
      </c>
    </row>
    <row r="428" spans="1:5" x14ac:dyDescent="0.25">
      <c r="A428">
        <v>994</v>
      </c>
      <c r="B428" t="s">
        <v>444</v>
      </c>
      <c r="C428">
        <v>814</v>
      </c>
      <c r="D428">
        <v>375</v>
      </c>
      <c r="E428" t="s">
        <v>468</v>
      </c>
    </row>
    <row r="429" spans="1:5" x14ac:dyDescent="0.25">
      <c r="A429">
        <v>995</v>
      </c>
      <c r="B429" t="s">
        <v>445</v>
      </c>
      <c r="C429">
        <v>816</v>
      </c>
      <c r="D429">
        <v>375</v>
      </c>
      <c r="E429" t="s">
        <v>468</v>
      </c>
    </row>
    <row r="430" spans="1:5" x14ac:dyDescent="0.25">
      <c r="A430">
        <v>996</v>
      </c>
      <c r="B430" t="s">
        <v>446</v>
      </c>
      <c r="C430">
        <v>970</v>
      </c>
      <c r="D430">
        <v>375</v>
      </c>
      <c r="E430" t="s">
        <v>468</v>
      </c>
    </row>
    <row r="431" spans="1:5" x14ac:dyDescent="0.25">
      <c r="A431">
        <v>997</v>
      </c>
      <c r="B431" t="s">
        <v>447</v>
      </c>
      <c r="C431">
        <v>153</v>
      </c>
      <c r="D431">
        <v>75</v>
      </c>
      <c r="E431" t="s">
        <v>468</v>
      </c>
    </row>
    <row r="432" spans="1:5" x14ac:dyDescent="0.25">
      <c r="A432">
        <v>998</v>
      </c>
      <c r="B432" t="s">
        <v>448</v>
      </c>
      <c r="C432">
        <v>155</v>
      </c>
      <c r="D432">
        <v>75</v>
      </c>
      <c r="E432" t="s">
        <v>468</v>
      </c>
    </row>
    <row r="433" spans="1:5" x14ac:dyDescent="0.25">
      <c r="A433">
        <v>999</v>
      </c>
      <c r="B433" t="s">
        <v>449</v>
      </c>
      <c r="C433">
        <v>194</v>
      </c>
      <c r="D433">
        <v>75</v>
      </c>
      <c r="E433" t="s">
        <v>468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7C9B-AEA2-42E8-92E4-BB455F17C226}">
  <dimension ref="A3:I27"/>
  <sheetViews>
    <sheetView workbookViewId="0">
      <selection activeCell="D20" sqref="D20"/>
    </sheetView>
  </sheetViews>
  <sheetFormatPr defaultRowHeight="15" x14ac:dyDescent="0.25"/>
  <cols>
    <col min="1" max="1" width="22.140625" bestFit="1" customWidth="1"/>
    <col min="2" max="2" width="28" bestFit="1" customWidth="1"/>
    <col min="3" max="3" width="30.7109375" bestFit="1" customWidth="1"/>
    <col min="4" max="4" width="18.42578125" bestFit="1" customWidth="1"/>
    <col min="5" max="5" width="27.42578125" bestFit="1" customWidth="1"/>
    <col min="6" max="6" width="29" bestFit="1" customWidth="1"/>
    <col min="7" max="7" width="9.5703125" bestFit="1" customWidth="1"/>
    <col min="8" max="8" width="6" bestFit="1" customWidth="1"/>
    <col min="9" max="9" width="26" bestFit="1" customWidth="1"/>
    <col min="10" max="10" width="7" bestFit="1" customWidth="1"/>
    <col min="11" max="11" width="10.7109375" bestFit="1" customWidth="1"/>
    <col min="12" max="12" width="8.7109375" bestFit="1" customWidth="1"/>
    <col min="13" max="13" width="12.7109375" bestFit="1" customWidth="1"/>
    <col min="14" max="14" width="10.7109375" bestFit="1" customWidth="1"/>
    <col min="15" max="15" width="29" bestFit="1" customWidth="1"/>
    <col min="16" max="16" width="20.140625" bestFit="1" customWidth="1"/>
    <col min="17" max="18" width="7" bestFit="1" customWidth="1"/>
    <col min="19" max="19" width="21.5703125" bestFit="1" customWidth="1"/>
    <col min="20" max="20" width="10.7109375" bestFit="1" customWidth="1"/>
    <col min="21" max="21" width="10.85546875" bestFit="1" customWidth="1"/>
    <col min="22" max="22" width="7.85546875" bestFit="1" customWidth="1"/>
    <col min="23" max="23" width="10.85546875" bestFit="1" customWidth="1"/>
    <col min="24" max="24" width="7.85546875" bestFit="1" customWidth="1"/>
    <col min="25" max="25" width="10.85546875" bestFit="1" customWidth="1"/>
    <col min="26" max="26" width="8.85546875" bestFit="1" customWidth="1"/>
    <col min="27" max="27" width="11.85546875" bestFit="1" customWidth="1"/>
    <col min="28" max="28" width="8.85546875" bestFit="1" customWidth="1"/>
    <col min="29" max="29" width="11.85546875" bestFit="1" customWidth="1"/>
    <col min="30" max="30" width="8.85546875" bestFit="1" customWidth="1"/>
    <col min="31" max="31" width="11.85546875" bestFit="1" customWidth="1"/>
    <col min="32" max="32" width="10.7109375" bestFit="1" customWidth="1"/>
    <col min="33" max="33" width="8.85546875" bestFit="1" customWidth="1"/>
    <col min="34" max="34" width="10.85546875" bestFit="1" customWidth="1"/>
    <col min="35" max="35" width="11.85546875" bestFit="1" customWidth="1"/>
    <col min="36" max="36" width="8.85546875" bestFit="1" customWidth="1"/>
    <col min="37" max="37" width="10.85546875" bestFit="1" customWidth="1"/>
    <col min="38" max="38" width="11.85546875" bestFit="1" customWidth="1"/>
    <col min="39" max="39" width="10.7109375" bestFit="1" customWidth="1"/>
  </cols>
  <sheetData>
    <row r="3" spans="1:9" x14ac:dyDescent="0.25">
      <c r="A3" s="1" t="s">
        <v>470</v>
      </c>
      <c r="B3" t="s">
        <v>480</v>
      </c>
    </row>
    <row r="4" spans="1:9" x14ac:dyDescent="0.25">
      <c r="A4" s="2" t="s">
        <v>474</v>
      </c>
      <c r="B4" s="4">
        <v>0.79867599725355554</v>
      </c>
    </row>
    <row r="5" spans="1:9" x14ac:dyDescent="0.25">
      <c r="A5" s="2" t="s">
        <v>475</v>
      </c>
      <c r="B5" s="4">
        <v>0.15131940821286791</v>
      </c>
      <c r="G5" s="1" t="s">
        <v>477</v>
      </c>
    </row>
    <row r="6" spans="1:9" x14ac:dyDescent="0.25">
      <c r="A6" s="2" t="s">
        <v>473</v>
      </c>
      <c r="B6" s="4">
        <v>5.0004594533576877E-2</v>
      </c>
      <c r="F6" s="1" t="s">
        <v>479</v>
      </c>
      <c r="G6">
        <v>2011</v>
      </c>
      <c r="H6" t="s">
        <v>471</v>
      </c>
    </row>
    <row r="7" spans="1:9" x14ac:dyDescent="0.25">
      <c r="A7" s="2" t="s">
        <v>471</v>
      </c>
      <c r="B7" s="4">
        <v>1.0000000000000004</v>
      </c>
      <c r="F7" s="2" t="s">
        <v>476</v>
      </c>
      <c r="G7" s="3">
        <v>9610</v>
      </c>
      <c r="H7" s="3">
        <v>9610</v>
      </c>
    </row>
    <row r="8" spans="1:9" x14ac:dyDescent="0.25">
      <c r="F8" s="2" t="s">
        <v>478</v>
      </c>
      <c r="G8" s="3">
        <v>90656</v>
      </c>
      <c r="H8" s="3">
        <v>90656</v>
      </c>
    </row>
    <row r="12" spans="1:9" x14ac:dyDescent="0.25">
      <c r="A12" s="1" t="s">
        <v>470</v>
      </c>
      <c r="B12" t="s">
        <v>472</v>
      </c>
      <c r="D12" s="1" t="s">
        <v>470</v>
      </c>
      <c r="E12" t="s">
        <v>476</v>
      </c>
    </row>
    <row r="13" spans="1:9" x14ac:dyDescent="0.25">
      <c r="A13" s="2" t="s">
        <v>185</v>
      </c>
      <c r="B13" s="3">
        <v>110</v>
      </c>
      <c r="D13" s="2">
        <v>2011</v>
      </c>
      <c r="E13" s="3">
        <v>12888</v>
      </c>
    </row>
    <row r="14" spans="1:9" x14ac:dyDescent="0.25">
      <c r="A14" s="2" t="s">
        <v>184</v>
      </c>
      <c r="B14" s="3">
        <v>186</v>
      </c>
      <c r="D14" s="2">
        <v>2012</v>
      </c>
      <c r="E14" s="3">
        <v>68579</v>
      </c>
      <c r="H14" s="1" t="s">
        <v>470</v>
      </c>
      <c r="I14" t="s">
        <v>481</v>
      </c>
    </row>
    <row r="15" spans="1:9" x14ac:dyDescent="0.25">
      <c r="A15" s="2" t="s">
        <v>238</v>
      </c>
      <c r="B15" s="3">
        <v>332</v>
      </c>
      <c r="D15" s="2">
        <v>2013</v>
      </c>
      <c r="E15" s="3">
        <v>131788</v>
      </c>
      <c r="H15" s="2" t="s">
        <v>468</v>
      </c>
      <c r="I15" s="3">
        <v>424</v>
      </c>
    </row>
    <row r="16" spans="1:9" x14ac:dyDescent="0.25">
      <c r="A16" s="2" t="s">
        <v>183</v>
      </c>
      <c r="B16" s="3">
        <v>508</v>
      </c>
      <c r="D16" s="2">
        <v>2014</v>
      </c>
      <c r="E16" s="3">
        <v>61659</v>
      </c>
      <c r="H16" s="2" t="s">
        <v>469</v>
      </c>
      <c r="I16" s="3">
        <v>8</v>
      </c>
    </row>
    <row r="17" spans="1:9" x14ac:dyDescent="0.25">
      <c r="A17" s="2" t="s">
        <v>236</v>
      </c>
      <c r="B17" s="3">
        <v>958</v>
      </c>
      <c r="D17" s="2" t="s">
        <v>471</v>
      </c>
      <c r="E17" s="3">
        <v>274914</v>
      </c>
      <c r="H17" s="2" t="s">
        <v>471</v>
      </c>
      <c r="I17" s="3">
        <v>432</v>
      </c>
    </row>
    <row r="18" spans="1:9" x14ac:dyDescent="0.25">
      <c r="A18" s="2" t="s">
        <v>87</v>
      </c>
      <c r="B18" s="3">
        <v>5165</v>
      </c>
    </row>
    <row r="19" spans="1:9" x14ac:dyDescent="0.25">
      <c r="A19" s="2" t="s">
        <v>167</v>
      </c>
      <c r="B19" s="3">
        <v>5549</v>
      </c>
    </row>
    <row r="20" spans="1:9" x14ac:dyDescent="0.25">
      <c r="A20" s="2" t="s">
        <v>12</v>
      </c>
      <c r="B20" s="3">
        <v>13584</v>
      </c>
    </row>
    <row r="21" spans="1:9" x14ac:dyDescent="0.25">
      <c r="A21" s="2" t="s">
        <v>225</v>
      </c>
      <c r="B21" s="3">
        <v>17319</v>
      </c>
      <c r="G21" s="1" t="s">
        <v>479</v>
      </c>
    </row>
    <row r="22" spans="1:9" x14ac:dyDescent="0.25">
      <c r="A22" s="2" t="s">
        <v>13</v>
      </c>
      <c r="B22" s="3">
        <v>20295</v>
      </c>
      <c r="G22" s="2" t="s">
        <v>482</v>
      </c>
      <c r="H22" s="3">
        <v>9610</v>
      </c>
    </row>
    <row r="23" spans="1:9" x14ac:dyDescent="0.25">
      <c r="A23" s="2" t="s">
        <v>23</v>
      </c>
      <c r="B23" s="3">
        <v>20419</v>
      </c>
      <c r="G23" s="2" t="s">
        <v>483</v>
      </c>
      <c r="H23" s="3">
        <v>90656</v>
      </c>
    </row>
    <row r="24" spans="1:9" x14ac:dyDescent="0.25">
      <c r="A24" s="2" t="s">
        <v>7</v>
      </c>
      <c r="B24" s="3">
        <v>72899</v>
      </c>
    </row>
    <row r="25" spans="1:9" x14ac:dyDescent="0.25">
      <c r="A25" s="2" t="s">
        <v>5</v>
      </c>
      <c r="B25" s="3">
        <v>83173</v>
      </c>
    </row>
    <row r="26" spans="1:9" x14ac:dyDescent="0.25">
      <c r="A26" s="2" t="s">
        <v>6</v>
      </c>
      <c r="B26" s="3">
        <v>95477</v>
      </c>
    </row>
    <row r="27" spans="1:9" x14ac:dyDescent="0.25">
      <c r="A27" s="2" t="s">
        <v>471</v>
      </c>
      <c r="B27" s="3">
        <v>335974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Estoque_Localização</vt:lpstr>
      <vt:lpstr>Classe</vt:lpstr>
      <vt:lpstr>Producao_Demanda</vt:lpstr>
      <vt:lpstr>Reposicao</vt:lpstr>
      <vt:lpstr>TabDinam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Nascimento dos Santos</dc:creator>
  <cp:lastModifiedBy>João Vitor Nascimento dos Santos</cp:lastModifiedBy>
  <dcterms:created xsi:type="dcterms:W3CDTF">2026-06-18T13:55:57Z</dcterms:created>
  <dcterms:modified xsi:type="dcterms:W3CDTF">2026-06-29T16:59:21Z</dcterms:modified>
</cp:coreProperties>
</file>